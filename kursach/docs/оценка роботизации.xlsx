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vol\Downloads\"/>
    </mc:Choice>
  </mc:AlternateContent>
  <xr:revisionPtr revIDLastSave="0" documentId="13_ncr:1_{0AD19CE7-F88B-451F-ABB3-68DEB58F7B61}" xr6:coauthVersionLast="47" xr6:coauthVersionMax="47" xr10:uidLastSave="{00000000-0000-0000-0000-000000000000}"/>
  <bookViews>
    <workbookView xWindow="-110" yWindow="-110" windowWidth="38620" windowHeight="21220" activeTab="4" xr2:uid="{00000000-000D-0000-FFFF-FFFF00000000}"/>
  </bookViews>
  <sheets>
    <sheet name="Настройка робота" sheetId="1" r:id="rId1"/>
    <sheet name="Оценка Middle" sheetId="2" r:id="rId2"/>
    <sheet name="Оценка High" sheetId="3" r:id="rId3"/>
    <sheet name="Лист1" sheetId="4" r:id="rId4"/>
    <sheet name="Чек-лист" sheetId="6" r:id="rId5"/>
    <sheet name="Оценка сложности задач" sheetId="7" r:id="rId6"/>
    <sheet name="Лист2" sheetId="8" r:id="rId7"/>
    <sheet name="FAQ" sheetId="9" r:id="rId8"/>
    <sheet name="Справочники" sheetId="10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2" i="7" l="1"/>
  <c r="F51" i="7"/>
  <c r="G51" i="7" s="1"/>
  <c r="F50" i="7"/>
  <c r="G50" i="7" s="1"/>
  <c r="F49" i="7"/>
  <c r="G49" i="7" s="1"/>
  <c r="J48" i="7"/>
  <c r="H48" i="7"/>
  <c r="G48" i="7"/>
  <c r="I48" i="7" s="1"/>
  <c r="F48" i="7"/>
  <c r="F47" i="7"/>
  <c r="F40" i="7"/>
  <c r="G40" i="7" s="1"/>
  <c r="I40" i="7" s="1"/>
  <c r="F39" i="7"/>
  <c r="G39" i="7" s="1"/>
  <c r="I39" i="7" s="1"/>
  <c r="F38" i="7"/>
  <c r="G38" i="7" s="1"/>
  <c r="I38" i="7" s="1"/>
  <c r="F37" i="7"/>
  <c r="G37" i="7" s="1"/>
  <c r="I37" i="7" s="1"/>
  <c r="F36" i="7"/>
  <c r="G36" i="7" s="1"/>
  <c r="I36" i="7" s="1"/>
  <c r="F35" i="7"/>
  <c r="G35" i="7" s="1"/>
  <c r="I35" i="7" s="1"/>
  <c r="F34" i="7"/>
  <c r="G34" i="7" s="1"/>
  <c r="I34" i="7" s="1"/>
  <c r="F33" i="7"/>
  <c r="G33" i="7" s="1"/>
  <c r="I33" i="7" s="1"/>
  <c r="F32" i="7"/>
  <c r="G32" i="7" s="1"/>
  <c r="I32" i="7" s="1"/>
  <c r="F31" i="7"/>
  <c r="G31" i="7" s="1"/>
  <c r="I31" i="7" s="1"/>
  <c r="F30" i="7"/>
  <c r="G30" i="7" s="1"/>
  <c r="I30" i="7" s="1"/>
  <c r="F29" i="7"/>
  <c r="G29" i="7" s="1"/>
  <c r="I29" i="7" s="1"/>
  <c r="F28" i="7"/>
  <c r="G28" i="7" s="1"/>
  <c r="I28" i="7" s="1"/>
  <c r="F27" i="7"/>
  <c r="G27" i="7" s="1"/>
  <c r="I27" i="7" s="1"/>
  <c r="F26" i="7"/>
  <c r="G26" i="7" s="1"/>
  <c r="I26" i="7" s="1"/>
  <c r="F25" i="7"/>
  <c r="G25" i="7" s="1"/>
  <c r="I25" i="7" s="1"/>
  <c r="F24" i="7"/>
  <c r="G24" i="7" s="1"/>
  <c r="I24" i="7" s="1"/>
  <c r="F23" i="7"/>
  <c r="G23" i="7" s="1"/>
  <c r="F22" i="7"/>
  <c r="G22" i="7" s="1"/>
  <c r="I22" i="7" s="1"/>
  <c r="F21" i="7"/>
  <c r="G21" i="7" s="1"/>
  <c r="I21" i="7" s="1"/>
  <c r="F20" i="7"/>
  <c r="G20" i="7" s="1"/>
  <c r="I20" i="7" s="1"/>
  <c r="F19" i="7"/>
  <c r="G19" i="7" s="1"/>
  <c r="I19" i="7" s="1"/>
  <c r="F18" i="7"/>
  <c r="G18" i="7" s="1"/>
  <c r="I18" i="7" s="1"/>
  <c r="F17" i="7"/>
  <c r="G17" i="7" s="1"/>
  <c r="I17" i="7" s="1"/>
  <c r="F16" i="7"/>
  <c r="G16" i="7" s="1"/>
  <c r="I16" i="7" s="1"/>
  <c r="F15" i="7"/>
  <c r="G15" i="7" s="1"/>
  <c r="I15" i="7" s="1"/>
  <c r="F14" i="7"/>
  <c r="G14" i="7" s="1"/>
  <c r="I14" i="7" s="1"/>
  <c r="F13" i="7"/>
  <c r="G13" i="7" s="1"/>
  <c r="I13" i="7" s="1"/>
  <c r="F12" i="7"/>
  <c r="G12" i="7" s="1"/>
  <c r="I12" i="7" s="1"/>
  <c r="F11" i="7"/>
  <c r="G11" i="7" s="1"/>
  <c r="I11" i="7" s="1"/>
  <c r="F10" i="7"/>
  <c r="G10" i="7" s="1"/>
  <c r="I10" i="7" s="1"/>
  <c r="G9" i="7"/>
  <c r="I9" i="7" s="1"/>
  <c r="F8" i="7"/>
  <c r="G8" i="7" s="1"/>
  <c r="I8" i="7" s="1"/>
  <c r="F7" i="7"/>
  <c r="G7" i="7" s="1"/>
  <c r="I7" i="7" s="1"/>
  <c r="F6" i="7"/>
  <c r="G6" i="7" s="1"/>
  <c r="I6" i="7" s="1"/>
  <c r="F5" i="7"/>
  <c r="G5" i="7" s="1"/>
  <c r="I5" i="7" s="1"/>
  <c r="F4" i="7"/>
  <c r="G4" i="7" s="1"/>
  <c r="I4" i="7" s="1"/>
  <c r="I3" i="7"/>
  <c r="F3" i="7"/>
  <c r="G3" i="7" s="1"/>
  <c r="F2" i="7"/>
  <c r="G2" i="7" s="1"/>
  <c r="B18" i="4"/>
  <c r="E11" i="4"/>
  <c r="B10" i="4"/>
  <c r="G40" i="3"/>
  <c r="F39" i="3"/>
  <c r="F38" i="3"/>
  <c r="F37" i="3"/>
  <c r="F36" i="3"/>
  <c r="F35" i="3"/>
  <c r="F34" i="3"/>
  <c r="E8" i="3"/>
  <c r="F8" i="3" s="1"/>
  <c r="F7" i="3"/>
  <c r="F6" i="3"/>
  <c r="G37" i="2"/>
  <c r="F36" i="2"/>
  <c r="F35" i="2"/>
  <c r="F34" i="2"/>
  <c r="E8" i="2"/>
  <c r="F8" i="2" s="1"/>
  <c r="F7" i="2"/>
  <c r="F6" i="2"/>
  <c r="F37" i="2" s="1"/>
  <c r="F55" i="1"/>
  <c r="E53" i="1"/>
  <c r="E29" i="1"/>
  <c r="E14" i="1"/>
  <c r="E5" i="1" l="1"/>
  <c r="F40" i="3"/>
  <c r="I23" i="7"/>
  <c r="H50" i="7"/>
  <c r="I50" i="7"/>
  <c r="E15" i="1"/>
  <c r="E20" i="1"/>
  <c r="E23" i="1"/>
  <c r="E49" i="1"/>
  <c r="E43" i="1"/>
  <c r="E37" i="1"/>
  <c r="E31" i="1"/>
  <c r="E25" i="1"/>
  <c r="E19" i="1"/>
  <c r="E13" i="1"/>
  <c r="E7" i="1"/>
  <c r="E54" i="1"/>
  <c r="E48" i="1"/>
  <c r="E42" i="1"/>
  <c r="E36" i="1"/>
  <c r="E30" i="1"/>
  <c r="E24" i="1"/>
  <c r="E18" i="1"/>
  <c r="E12" i="1"/>
  <c r="E6" i="1"/>
  <c r="E52" i="1"/>
  <c r="E46" i="1"/>
  <c r="E40" i="1"/>
  <c r="E34" i="1"/>
  <c r="E28" i="1"/>
  <c r="E22" i="1"/>
  <c r="E16" i="1"/>
  <c r="E10" i="1"/>
  <c r="E4" i="1"/>
  <c r="E51" i="1"/>
  <c r="E45" i="1"/>
  <c r="E39" i="1"/>
  <c r="E27" i="1"/>
  <c r="E21" i="1"/>
  <c r="E33" i="1"/>
  <c r="E9" i="1"/>
  <c r="E50" i="1"/>
  <c r="I2" i="7"/>
  <c r="E44" i="1"/>
  <c r="I51" i="7"/>
  <c r="H51" i="7"/>
  <c r="J51" i="7"/>
  <c r="E32" i="1"/>
  <c r="E17" i="1"/>
  <c r="E35" i="1"/>
  <c r="I49" i="7"/>
  <c r="H49" i="7"/>
  <c r="E38" i="1"/>
  <c r="E8" i="1"/>
  <c r="E41" i="1"/>
  <c r="E11" i="1"/>
  <c r="E26" i="1"/>
  <c r="E47" i="1"/>
  <c r="G47" i="7"/>
  <c r="J47" i="7" s="1"/>
  <c r="J50" i="7"/>
  <c r="J49" i="7"/>
  <c r="G52" i="7"/>
  <c r="J52" i="7" s="1"/>
  <c r="E55" i="1" l="1"/>
  <c r="I47" i="7"/>
  <c r="H47" i="7"/>
  <c r="I52" i="7"/>
  <c r="H52" i="7"/>
</calcChain>
</file>

<file path=xl/sharedStrings.xml><?xml version="1.0" encoding="utf-8"?>
<sst xmlns="http://schemas.openxmlformats.org/spreadsheetml/2006/main" count="532" uniqueCount="314">
  <si>
    <t>Оценка трудозатрат на настройку алгоритма робота (человеко-часов)</t>
  </si>
  <si>
    <t>№</t>
  </si>
  <si>
    <t>Наименование</t>
  </si>
  <si>
    <t>Тип задачи</t>
  </si>
  <si>
    <t>Сложность</t>
  </si>
  <si>
    <t>Оценка</t>
  </si>
  <si>
    <t>Автоматически</t>
  </si>
  <si>
    <t>Уточненно</t>
  </si>
  <si>
    <t>1</t>
  </si>
  <si>
    <t>Проверка новых писем в ящике заявок</t>
  </si>
  <si>
    <t>Почта/Outlook</t>
  </si>
  <si>
    <t>Легкая</t>
  </si>
  <si>
    <t>2</t>
  </si>
  <si>
    <t>Фильтрация писем: только заявки (по адресату/теме/метке)</t>
  </si>
  <si>
    <t>Настройка процесса</t>
  </si>
  <si>
    <t>3</t>
  </si>
  <si>
    <t>Сохранение письма и вложений во временную папку</t>
  </si>
  <si>
    <t>Файлы/Папки/FTP</t>
  </si>
  <si>
    <t>Средняя</t>
  </si>
  <si>
    <t>4</t>
  </si>
  <si>
    <t>Извлечение данных из письма: тема/тело/отправитель</t>
  </si>
  <si>
    <t>Обработка текста</t>
  </si>
  <si>
    <t>5</t>
  </si>
  <si>
    <t>Парсинг контактных данных из текста (ФИО, телефон, компания)</t>
  </si>
  <si>
    <t>6</t>
  </si>
  <si>
    <t>Проверка на дубликаты заявки (Message-ID/тема/отправитель)</t>
  </si>
  <si>
    <t>Базы данных</t>
  </si>
  <si>
    <t>7</t>
  </si>
  <si>
    <t>Создание задачи/карточки в YouGile через API</t>
  </si>
  <si>
    <t>REST/SOAP</t>
  </si>
  <si>
    <t>8</t>
  </si>
  <si>
    <t>Заполнение полей задачи: описание, контакты, теги, приоритет</t>
  </si>
  <si>
    <t>Интеграции</t>
  </si>
  <si>
    <t>9</t>
  </si>
  <si>
    <t>Прикрепление вложений к задаче (если есть)</t>
  </si>
  <si>
    <t>10</t>
  </si>
  <si>
    <t>Уведомление менеджера о созданной задаче</t>
  </si>
  <si>
    <t>11</t>
  </si>
  <si>
    <t>Логирование результата (журнал) и пометка письма</t>
  </si>
  <si>
    <t>12</t>
  </si>
  <si>
    <t>Обработка ошибок и повторные попытки (ретраи/очередь)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</si>
  <si>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</si>
  <si>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</si>
  <si>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</si>
  <si>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</si>
  <si>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</si>
  <si>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</si>
  <si>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</si>
  <si>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</si>
  <si>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</si>
  <si>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</si>
  <si>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</si>
  <si>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</si>
  <si>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</si>
  <si>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</si>
  <si>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</si>
  <si>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</si>
  <si>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</si>
  <si>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</si>
  <si>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</si>
  <si>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</si>
  <si>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</si>
  <si>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</si>
  <si>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</si>
  <si>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</si>
  <si>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</si>
  <si>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</si>
  <si>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</si>
  <si>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</si>
  <si>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</si>
  <si>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</si>
  <si>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</si>
  <si>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</si>
  <si>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</si>
  <si>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</si>
  <si>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</si>
  <si>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</si>
  <si>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</si>
  <si>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</si>
  <si>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</si>
  <si>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ИТОГО:</t>
  </si>
  <si>
    <t xml:space="preserve">Расчет стоимости разработки и внедрения программного робота на процесс </t>
  </si>
  <si>
    <t xml:space="preserve"> </t>
  </si>
  <si>
    <t>Автоматическое создание задач в YouGile по заявкам клиентов из почты — ООО «ИнфоСервис»</t>
  </si>
  <si>
    <t>Средняя ставка руб./чел-час*</t>
  </si>
  <si>
    <t>Наименование работ</t>
  </si>
  <si>
    <t>Состав работ</t>
  </si>
  <si>
    <t>Трудозатраты, чел-час</t>
  </si>
  <si>
    <t>Стоимость работ, руб. без НДС</t>
  </si>
  <si>
    <t>Сроки, раб. дней</t>
  </si>
  <si>
    <t>Разработка и согласование ЧТЗ на создание робота</t>
  </si>
  <si>
    <t>Уточнение требований к роботизации процесса с владельцем процесса</t>
  </si>
  <si>
    <t>Настройка алгоритма робота</t>
  </si>
  <si>
    <t>Настройка алгоритма робота по шагам процесса:</t>
  </si>
  <si>
    <t>Настроить доступ к почтовому ящику заявок и правила отбора писем</t>
  </si>
  <si>
    <t>Считывание письма (тема/тело/отправитель) и вложений</t>
  </si>
  <si>
    <t>Парсинг данных заявки и контактов (email, телефон, имя, компания)</t>
  </si>
  <si>
    <t>Проверка дубликатов и контроль повторной обработки</t>
  </si>
  <si>
    <t>Подключение к YouGile (токен/API) и выбор проекта/доски</t>
  </si>
  <si>
    <t>Создание задачи и заполнение полей (название, описание, контакты, теги)</t>
  </si>
  <si>
    <t>Прикрепление вложений к задаче</t>
  </si>
  <si>
    <t>Уведомление менеджера / комментарий в задаче</t>
  </si>
  <si>
    <t>Логирование результата (журнал + ссылка) и маркировка письма</t>
  </si>
  <si>
    <t>Обработка ошибок и повторные попытки (ретраи)</t>
  </si>
  <si>
    <t>Настройка робота в промышленной среде</t>
  </si>
  <si>
    <t>Настройка робота на продуктовом стенде, с отработкой взаимодействия с участвующими системами в постоянной (промышленной) эксплуатации</t>
  </si>
  <si>
    <t>Разработка эксплуатационной документации (Инструкция по работе с роботом)</t>
  </si>
  <si>
    <t>Консультационная поддержка пользователей робота в течение 10 раб. Дней</t>
  </si>
  <si>
    <t>Итого:</t>
  </si>
  <si>
    <t>Разработка и согласование ЧТЗ на программного робота</t>
  </si>
  <si>
    <t xml:space="preserve">Настройка алгоритма программного робота.
Подготовка программного робота к опытно-промышленной эксплуатации (ОПЭ)
</t>
  </si>
  <si>
    <t>Настройка алгоритма программного робота на стенде разработки и тестирования по шагам процесса:</t>
  </si>
  <si>
    <t>Настройка программного робота на продуктовом стенде, с отработкой взаимодействия с участвующими системами в постоянной (промышленной) эксплуатации</t>
  </si>
  <si>
    <t>Разработка эксплуатационной документации</t>
  </si>
  <si>
    <t>Разработка программы и методики испытаний для сдачи в ОПЭ</t>
  </si>
  <si>
    <t>Опытно-промышленная эксплуатация и сдача в постоянную эксплуатацию программного робота</t>
  </si>
  <si>
    <t>Консультационная поддержка пользователей программного робота в период ОПЭ</t>
  </si>
  <si>
    <t>Устранение неисправностей программного робота выявленных в результате ОПЭ</t>
  </si>
  <si>
    <t>Проведение приемо-сдаточных испытаний для сдачи в постоянную (промышленную) эксплуатацию</t>
  </si>
  <si>
    <t>Итого стоимость работ по процессу:</t>
  </si>
  <si>
    <t>Вход в систему</t>
  </si>
  <si>
    <t>Ввод дат</t>
  </si>
  <si>
    <t>Управление формой (выбор версии для отчета)</t>
  </si>
  <si>
    <t>Выгрузка по железным дорогам по первому отчту</t>
  </si>
  <si>
    <t>Выгрузка по филиалам по первому отчету</t>
  </si>
  <si>
    <t>Выгрузка отчетов третьего типа</t>
  </si>
  <si>
    <t>Сопоставление данных из очета с документом с полями (word)</t>
  </si>
  <si>
    <t>Внесение данных в отчет таблицу Исторических данных</t>
  </si>
  <si>
    <t>Наименование процесса</t>
  </si>
  <si>
    <t>Часы на настройку робота</t>
  </si>
  <si>
    <t>Часы на отработку робота</t>
  </si>
  <si>
    <t>1.      Выгрузка всех трех отчетов в одном роботе</t>
  </si>
  <si>
    <t>367 часов</t>
  </si>
  <si>
    <t>140 часов</t>
  </si>
  <si>
    <t xml:space="preserve">2.      Выгрузка отчета первого вида </t>
  </si>
  <si>
    <t>183 часа</t>
  </si>
  <si>
    <t>47 часов</t>
  </si>
  <si>
    <t>3.      Выгрузка отчета второго вида</t>
  </si>
  <si>
    <t>119 часов</t>
  </si>
  <si>
    <t>40 часов</t>
  </si>
  <si>
    <t>4.        Выгрузка отчета третьего вида</t>
  </si>
  <si>
    <t>120 часов</t>
  </si>
  <si>
    <t>53 часа</t>
  </si>
  <si>
    <t>5.      Выгрузка отчета первого и второго вида</t>
  </si>
  <si>
    <t>271 час</t>
  </si>
  <si>
    <t>87 часов</t>
  </si>
  <si>
    <t>А</t>
  </si>
  <si>
    <t>Р</t>
  </si>
  <si>
    <t>Т</t>
  </si>
  <si>
    <t>Общие параметры проекта</t>
  </si>
  <si>
    <t xml:space="preserve"> Сбор требований для оценки затрат</t>
  </si>
  <si>
    <t>Вопрос</t>
  </si>
  <si>
    <t>Ответ</t>
  </si>
  <si>
    <t>Дополнительная информация</t>
  </si>
  <si>
    <t>Общие сведения</t>
  </si>
  <si>
    <t>1.1</t>
  </si>
  <si>
    <t>Наименование Заказчика</t>
  </si>
  <si>
    <t>ООО «ИнфоСервис»</t>
  </si>
  <si>
    <t>1.2</t>
  </si>
  <si>
    <t>Адрес Заказчика</t>
  </si>
  <si>
    <t>115280, г. Москва, ул. Ленинская Слобода, д. 19, офис 305</t>
  </si>
  <si>
    <t>1.3</t>
  </si>
  <si>
    <t>Наименование процесса (процессов)</t>
  </si>
  <si>
    <t>Автоматическое создание задач в YouGile по заявкам клиентов из спец. почтовых ящиков</t>
  </si>
  <si>
    <t>Организационные вопросы</t>
  </si>
  <si>
    <t>1.1.</t>
  </si>
  <si>
    <t>Возможна ли разработка и сдача робота(ов) удаленно?</t>
  </si>
  <si>
    <t>Да</t>
  </si>
  <si>
    <t>Команда исполнителя и Заказчик работают удаленно; коммуникации — Teams/Zoom.</t>
  </si>
  <si>
    <t>Есть ли подробное описание процесса?</t>
  </si>
  <si>
    <t>Есть регламент обработки заявок и текущий шаблон задачи в YouGile.</t>
  </si>
  <si>
    <t>Готов Заказчик показать подробно процесс через ВКС?</t>
  </si>
  <si>
    <t>Покажем процесс обработки письма и создания задачи в YouGile.</t>
  </si>
  <si>
    <t>Готов ли Заказчик предоставить сейчас все входные данные, участвующие в процессе (шаблоны, образцы, наборы данных и пр.)? Если да, то какие?</t>
  </si>
  <si>
    <t>Предоставим 20–30 примеров писем-заявок, структуру полей YouGile, доступ к тестовой доске/проекту.</t>
  </si>
  <si>
    <t>Есть ли требования к срокам разработки? Если да, то какие?</t>
  </si>
  <si>
    <t>Желаемый запуск MVP — в течение 2 недель с момента старта работ.</t>
  </si>
  <si>
    <t>1.4</t>
  </si>
  <si>
    <t>Есть ли особые требования к информационной безопасности? Если да, то какие?</t>
  </si>
  <si>
    <t>Работа в корпоративном контуре; доступы по учетным записям; логирование действий; без передачи данных во внешние сервисы.</t>
  </si>
  <si>
    <t>Требуется ли опытно-промышленная эксплуатация робота? Если да, то с каким сроком?</t>
  </si>
  <si>
    <t>Нет</t>
  </si>
  <si>
    <t>Достаточно тестового контура и приемочных испытаний. При необходимости — пилот 1 неделя.</t>
  </si>
  <si>
    <t>1.5</t>
  </si>
  <si>
    <t>Требуется ли авторская поддержка робота (доработка, консультации и пр.)? Не путать с гарантийной поддержкой робота и/или лицензионнной подержкой платформы</t>
  </si>
  <si>
    <t>Авторская поддержка 1 месяц после запуска; далее — сопровождение по SLA/заявкам.</t>
  </si>
  <si>
    <t>Параметры процесса</t>
  </si>
  <si>
    <t>2.1</t>
  </si>
  <si>
    <t>Есть ли необходимость работать с сайтом\приложением через API?</t>
  </si>
  <si>
    <t>YouGile: REST API. Почта: Microsoft 365/Outlook (Graph API/IMAP).</t>
  </si>
  <si>
    <t>2.2</t>
  </si>
  <si>
    <t>Присутствует ли при авторизации функционал распознавания Captcha?  Если да, то охарактерезуййте его сложность (буквы/цифры либо фото)</t>
  </si>
  <si>
    <t>CAPTCHA не используется.</t>
  </si>
  <si>
    <t>2.3</t>
  </si>
  <si>
    <t>Требуется ли извлечение данных из изображений (сканов) документов? Если да, то ответьте на следующие вопросы:</t>
  </si>
  <si>
    <t>Извлечение из сканов/изображений не требуется (работаем с текстом письма).</t>
  </si>
  <si>
    <t>2.3.1</t>
  </si>
  <si>
    <t>Какие документы обрабатываются, сколько типов? (счета фактуры, паспорта, СНИЛС и тд)</t>
  </si>
  <si>
    <t>Не применимо (обработка документов/сканов не требуется)</t>
  </si>
  <si>
    <t>2.3.2</t>
  </si>
  <si>
    <t>Документы попадают из одного источника? Если нет, нужна ли классификация документов?</t>
  </si>
  <si>
    <t>Источник один — спец. почтовые ящики. Классификация писем по правилам/тегам.</t>
  </si>
  <si>
    <t>2.3.3</t>
  </si>
  <si>
    <t>Какие сущности необходимо извлекать из документов?</t>
  </si>
  <si>
    <t>Из текста письма: ФИО/имя, телефон, email, компания, описание заявки, приоритет (если указан).</t>
  </si>
  <si>
    <t>Если контакты не найдены — берем из поля «От» и добавляем пометку «контакты не извлечены».</t>
  </si>
  <si>
    <t>2.3.4</t>
  </si>
  <si>
    <t>Предполагается ли ручная верификация распознанных документов? Если да, то коротко опишите состав верифицируемых данных</t>
  </si>
  <si>
    <t>Ручная верификация не требуется. При сомнении робот помечает задачу тегом «нужна проверка».</t>
  </si>
  <si>
    <t>2.3.5</t>
  </si>
  <si>
    <t>Нужна ли пакетная обработка документов (сверка данных между различными документами в пакете)? Если да, то коротко опишите виды сверяемых данных</t>
  </si>
  <si>
    <t>Пакетная сверка не требуется.</t>
  </si>
  <si>
    <t>2.3.6</t>
  </si>
  <si>
    <t>Может ли клиент предоставить документы для анализа? (до 5 примеров каждого типа)</t>
  </si>
  <si>
    <t>Предоставим примеры писем и вложений (до 5 типов вложений).</t>
  </si>
  <si>
    <t>2.3.7</t>
  </si>
  <si>
    <t>Документы какого качества попадают в обработку (сканы, фото, присылают по whatsapp и т.д.)?</t>
  </si>
  <si>
    <t>Текстовые письма; иногда вложения PDF/изображения (прикрепляем к задаче без распознавания).</t>
  </si>
  <si>
    <t>2.3.8</t>
  </si>
  <si>
    <t>Какой объем обрабатываемых документов (страниц  в месяц/год)</t>
  </si>
  <si>
    <t>≈ 100–150 заявок в месяц (в пиковые месяцы до 250).</t>
  </si>
  <si>
    <t>2.4</t>
  </si>
  <si>
    <t>Есть ли в процессе действия работы с локальными прикладными системами (настольными приложениями)? Если да, то какие?</t>
  </si>
  <si>
    <t>Настольные приложения не используются.</t>
  </si>
  <si>
    <t>2.5</t>
  </si>
  <si>
    <t>Необходима ли в процессе работа с почтой? Если да, то через какой интерфейс?</t>
  </si>
  <si>
    <t>Через Outlook/Microsoft 365: ящики заявки@… и support@…; робот работает по API.</t>
  </si>
  <si>
    <t>2.6</t>
  </si>
  <si>
    <t>Требуется работа с окнами RDP? Если да, требуется ли обмен инфомацией между основным и удаленным рабочим столом?</t>
  </si>
  <si>
    <t>RDP не требуется.</t>
  </si>
  <si>
    <t>2.7</t>
  </si>
  <si>
    <t>Требуется ли в процессе применение технологий AI: классификация документов, распознавание именованных сущностей (например Дата, ФИО, адрес и пр.)? Если да, то какие?</t>
  </si>
  <si>
    <t>AI/ML не требуется. Используем правила и парсинг текста.</t>
  </si>
  <si>
    <t>2.8</t>
  </si>
  <si>
    <t>Требуется ли в процессе chat-bot? Если да, то кратко изложите его функции</t>
  </si>
  <si>
    <t>Chat-bot не требуется.</t>
  </si>
  <si>
    <t>2.9</t>
  </si>
  <si>
    <t>Используются в процессе базы данных? Если да, то какие?</t>
  </si>
  <si>
    <t>Для логирования: Excel/Google Sheets или SQL (по согласованию). На первом этапе — Excel.</t>
  </si>
  <si>
    <t>2.10</t>
  </si>
  <si>
    <t>Используются в процессе офисные программы? Если да, то какие? ( MsOffice, Р7 офис, МойОфис, Google сервисы)</t>
  </si>
  <si>
    <t>MS Office не требуется (кроме ведения журнала в Excel при необходимости).</t>
  </si>
  <si>
    <t>2.11</t>
  </si>
  <si>
    <t>Нужно формировать отчет по результатам выполнения робота? Если да, какие основные данные этого отчета?</t>
  </si>
  <si>
    <t>Журнал: дата/время, отправитель, тема, статус, ссылка на задачу YouGile. Ежедневная сводка на email.</t>
  </si>
  <si>
    <t>Документирование</t>
  </si>
  <si>
    <t>3.1</t>
  </si>
  <si>
    <t>Требуется ли программа и методика испытаний для сдачи робота?</t>
  </si>
  <si>
    <t>Нужен краткий сценарий/чек-лист приемочных испытаний (UAT).</t>
  </si>
  <si>
    <t>3.2</t>
  </si>
  <si>
    <t>Требуются ли другие проектные/технические/рабочие документы, кроме стандартной инструкции работы с роботом? Если да, то какие?</t>
  </si>
  <si>
    <t>Инструкция пользователя/админа, описание алгоритма, список настроек и зависимостей.</t>
  </si>
  <si>
    <t>3.3</t>
  </si>
  <si>
    <t>Есть ли у Заказчика специальные требования (шаблоны) к технической документации?</t>
  </si>
  <si>
    <t>Используем корпоративные шаблоны; предоставим образцы.</t>
  </si>
  <si>
    <t>Объяснение</t>
  </si>
  <si>
    <t>Оценка аналитика</t>
  </si>
  <si>
    <t>Оценка разработчика</t>
  </si>
  <si>
    <t>Оценка тестирования</t>
  </si>
  <si>
    <t>Итоговая оценка</t>
  </si>
  <si>
    <t>Дополнительный комментарий</t>
  </si>
  <si>
    <t>запуск или завершение процесса, релизация цикла опроцесса, вывод сообщений в модальном окне
Базовые действия, Конвертация дат, Диалоговые окна, ОС, Процессы</t>
  </si>
  <si>
    <t xml:space="preserve">Здесь сложность может корректироваться доп. Часами зависит от сложности задачи, которую необходимо решить </t>
  </si>
  <si>
    <t xml:space="preserve">исполнение команд / скриптов, настройка процесса обработки ошибок простого или среднего уровня сложности 
настройка алгоритма, подразумевающего работу с ресурсом "зашифрованная строка" и включающего обработку возможных ошибок </t>
  </si>
  <si>
    <t>Сложная</t>
  </si>
  <si>
    <t>исполнение скриптов с получением результата, настройка процесса обработки ошибок и алгоритмов, высокой сложности 
настройка алгоритма, подразумевающего работу с ресурсом "библиотека/скрипт", включающего обработку возможных ошибок и проверку входных данных на соответствие ожидаемым (типы данных)</t>
  </si>
  <si>
    <t>Обработка web-страницы</t>
  </si>
  <si>
    <t>переходы по странице, авторизация
1) «открыть браузер» и/или «перейти по URL» и/или «закрыть браузер» и/или «получить URL»
ИЛИ/И
2) Любые действия, для которых необходимо получать Xpath, - от 1-3 действий в одном шаге процесса
И
3) Работа в Google Chrome</t>
  </si>
  <si>
    <t>использование xpath
любой браузер, изменяющиеся xpath
2) Любые действия, для которых необходимо получать Xpath, - от 4 до 8 действий в одном шаге процесса</t>
  </si>
  <si>
    <t>Действия, в которых из-за особенностей кода Web-страниц приходится прописывать корректный Xpath вручную можно отнести к среднему или сложному уровню сложности в зависимости от кол-ва таких действий на одном шаге процесса. Но, как правило, на этапе оценки еще не известны такие подробности устройства web-страниц. Поэтому оценивать сложность шагов процесса по обработке web-страниц в зависимости от Xpath практически невозможно</t>
  </si>
  <si>
    <t xml:space="preserve">xpath с использованием переменных студии, обработка фреймов, данные из таблиц
1) Любые действия, для которых необходимо получать Xpath, - от 8 и более действий в одном шаге процесса
2) Необходимо проверять доступность/наличие (например, если система долго обновляет страницу) нужных полей/кнопок или, заполнены ли некоторые поля нужными данными – от 3х и более проверок
И 
3) Работа в Google Chrome или Internet Explorer </t>
  </si>
  <si>
    <t>Обработка ЭФ</t>
  </si>
  <si>
    <t>работа с экранной формой, которая содержит не более 5 полей для взаимодействия</t>
  </si>
  <si>
    <t>работа с экранной формой, которая содержит от 6 до 10 полей для взаимодействия</t>
  </si>
  <si>
    <t>работа с экранной формой, котрая содержит более 10 полей для взаимодействия</t>
  </si>
  <si>
    <t>Vision / OCR</t>
  </si>
  <si>
    <t>поиск изображения</t>
  </si>
  <si>
    <t xml:space="preserve">распознование текста с изображения/pdf </t>
  </si>
  <si>
    <t>распознование текста по шаблону</t>
  </si>
  <si>
    <t>Office App</t>
  </si>
  <si>
    <t>заполнение ячеек, копирование данных из ячеек|запись, чтение в файл</t>
  </si>
  <si>
    <t>работа с таблицами, работа с фильтрами, использование горячих клавиш, изменение структуры файла/фильтрация для Excel</t>
  </si>
  <si>
    <t>макросы, работа с областями таблицы, работа с формулами</t>
  </si>
  <si>
    <t>поиск файла, пути до файлов, работа с папками: копирование/удаление/перемещение и т.д.</t>
  </si>
  <si>
    <t>работа с многочисленными файлами в циклах</t>
  </si>
  <si>
    <t>ftp</t>
  </si>
  <si>
    <t xml:space="preserve">1) «Настройка подключения» + «отправка» и/или + «получение» с 1-3 заполненными пунктами в параметрах 
ИЛИ
2) Outlook: «получить» и/или «отправить»/ «ответить» с 1-3 заполненными пунктами в параметрах
</t>
  </si>
  <si>
    <t>1) «Настройка подключения» + «отправка» и/или + «получение» с 4 и более заполненными пунктами в параметрах. Некоторые пункты могут быть заполнены переменными 
ИЛИ
2) Outlook: «получить» и/или «отправить»/ «ответить» с 4 и более заполненными пунктами в параметрах. Некоторые пункты могут быть заполнены переменными
3) Форматирование текста письма при пощи html тегов</t>
  </si>
  <si>
    <t>1) «Настройка подключения» + «отправка» и/или + «получение» с 4 и более заполненными пунктами в параметрах. Большинство пунктов указаны через переменные и/или текст письма большой и/или записан через большое кол-во переменных
ИЛИ
2) Outlook: «получить» и/или «отправить»/ «ответить» с 4 и более заполненными пунктами в параметрах. Большинство пунктов указаны через переменные и/или текст письма большой и/или записан через большое кол-во переменных
3) Форматирование текста письма при пощи html тегов</t>
  </si>
  <si>
    <t>Классификатор</t>
  </si>
  <si>
    <t>обучение классификатора на 2 категориях текстов</t>
  </si>
  <si>
    <t>обучение классификатора на 3 - 5 категорий</t>
  </si>
  <si>
    <t>обучение классификатора на более 5 категорий</t>
  </si>
  <si>
    <t>написание регулярных выражений простой сложности</t>
  </si>
  <si>
    <t>NER, Данные из таблицы, Работа с текстом</t>
  </si>
  <si>
    <t>написание регулярных выражений средней сложности</t>
  </si>
  <si>
    <t>написание регулярных выражений высокой  сложности</t>
  </si>
  <si>
    <t>Flexi Capture/Yandex OCR</t>
  </si>
  <si>
    <t>Flexi Capture</t>
  </si>
  <si>
    <t>написание простых запросов</t>
  </si>
  <si>
    <t xml:space="preserve">Написание запросов средней сложности </t>
  </si>
  <si>
    <t>Сложные запросы</t>
  </si>
  <si>
    <t>написание сложных запросов</t>
  </si>
  <si>
    <t>написание сложных запросов+ работа с СУБД</t>
  </si>
  <si>
    <t>Оркестрация</t>
  </si>
  <si>
    <t xml:space="preserve">Настройка процессов </t>
  </si>
  <si>
    <t>Настройка AD</t>
  </si>
  <si>
    <t>Примечание</t>
  </si>
  <si>
    <t>Контейнеры на странице разметки всегда используются стандартные. Их изменение мы пока не делали, сложность не знаем.</t>
  </si>
  <si>
    <t>Все измеряется в часах</t>
  </si>
  <si>
    <t>Предполагается, что команды работают по скраму и минимум час в день уходит на Scrum активности.</t>
  </si>
  <si>
    <t>Сложности</t>
  </si>
  <si>
    <t>Оркестратор</t>
  </si>
  <si>
    <t>Нельзя оценить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</si>
</sst>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RUB&quot;"/>
  </numFmts>
  <fonts count="1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b/>
      <i/>
      <sz val="11"/>
      <color rgb="FFFF0000"/>
      <name val="Times New Roman"/>
      <family val="1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79995117038483843"/>
        <bgColor indexed="65"/>
      </patternFill>
    </fill>
    <fill>
      <patternFill patternType="solid">
        <fgColor theme="0" tint="-4.9989318521683403E-2"/>
        <bgColor indexed="65"/>
      </patternFill>
    </fill>
    <fill>
      <patternFill patternType="solid">
        <fgColor theme="0" tint="-0.14999847407452621"/>
        <bgColor indexed="65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2" tint="-9.9978637043366805E-2"/>
        <bgColor indexed="65"/>
      </patternFill>
    </fill>
    <fill>
      <patternFill patternType="solid">
        <fgColor theme="0"/>
      </patternFill>
    </fill>
    <fill>
      <patternFill patternType="solid">
        <fgColor theme="9" tint="0.79995117038483843"/>
        <bgColor indexed="65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9" fontId="3" fillId="0" borderId="0"/>
    <xf numFmtId="0" fontId="1" fillId="0" borderId="0"/>
  </cellStyleXfs>
  <cellXfs count="134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0" xfId="0" applyAlignment="1">
      <alignment wrapText="1"/>
    </xf>
    <xf numFmtId="0" fontId="0" fillId="0" borderId="2" xfId="0" applyBorder="1"/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0" fillId="0" borderId="1" xfId="0" applyBorder="1" applyAlignment="1">
      <alignment vertical="top"/>
    </xf>
    <xf numFmtId="0" fontId="0" fillId="0" borderId="2" xfId="0" applyBorder="1" applyAlignment="1">
      <alignment vertical="top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2" fillId="3" borderId="1" xfId="0" applyFont="1" applyFill="1" applyBorder="1"/>
    <xf numFmtId="0" fontId="2" fillId="3" borderId="1" xfId="0" applyFont="1" applyFill="1" applyBorder="1" applyAlignment="1">
      <alignment wrapText="1"/>
    </xf>
    <xf numFmtId="0" fontId="0" fillId="0" borderId="6" xfId="0" applyBorder="1" applyAlignment="1">
      <alignment vertical="top" wrapText="1"/>
    </xf>
    <xf numFmtId="0" fontId="0" fillId="5" borderId="1" xfId="0" applyFill="1" applyBorder="1"/>
    <xf numFmtId="0" fontId="0" fillId="4" borderId="1" xfId="0" applyFill="1" applyBorder="1"/>
    <xf numFmtId="0" fontId="0" fillId="5" borderId="1" xfId="0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/>
    </xf>
    <xf numFmtId="0" fontId="0" fillId="5" borderId="1" xfId="0" applyFill="1" applyBorder="1" applyAlignment="1">
      <alignment horizontal="center" vertical="top"/>
    </xf>
    <xf numFmtId="0" fontId="0" fillId="0" borderId="0" xfId="0" applyAlignment="1">
      <alignment vertical="top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justify" vertical="center" wrapText="1"/>
    </xf>
    <xf numFmtId="0" fontId="4" fillId="0" borderId="14" xfId="0" applyFont="1" applyBorder="1" applyAlignment="1">
      <alignment horizontal="center" vertical="center" wrapText="1"/>
    </xf>
    <xf numFmtId="0" fontId="0" fillId="0" borderId="10" xfId="0" applyBorder="1" applyAlignment="1">
      <alignment vertical="top"/>
    </xf>
    <xf numFmtId="0" fontId="0" fillId="0" borderId="6" xfId="0" applyBorder="1" applyAlignment="1">
      <alignment horizontal="center" vertical="top"/>
    </xf>
    <xf numFmtId="0" fontId="5" fillId="0" borderId="1" xfId="0" applyFont="1" applyBorder="1" applyAlignment="1">
      <alignment vertical="top" wrapText="1"/>
    </xf>
    <xf numFmtId="0" fontId="5" fillId="0" borderId="2" xfId="0" applyFont="1" applyBorder="1" applyAlignment="1">
      <alignment vertical="top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top"/>
    </xf>
    <xf numFmtId="0" fontId="5" fillId="6" borderId="1" xfId="0" applyFont="1" applyFill="1" applyBorder="1" applyAlignment="1">
      <alignment horizontal="left" vertical="top" wrapText="1"/>
    </xf>
    <xf numFmtId="0" fontId="5" fillId="0" borderId="0" xfId="0" applyFont="1" applyAlignment="1">
      <alignment vertical="top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vertical="top"/>
    </xf>
    <xf numFmtId="0" fontId="5" fillId="5" borderId="0" xfId="0" applyFont="1" applyFill="1" applyAlignment="1">
      <alignment horizontal="center" vertical="top"/>
    </xf>
    <xf numFmtId="0" fontId="5" fillId="6" borderId="0" xfId="0" applyFont="1" applyFill="1" applyAlignment="1">
      <alignment horizontal="left" vertical="top" wrapText="1"/>
    </xf>
    <xf numFmtId="0" fontId="5" fillId="0" borderId="0" xfId="0" applyFont="1"/>
    <xf numFmtId="0" fontId="5" fillId="0" borderId="0" xfId="0" applyFont="1" applyAlignment="1">
      <alignment vertical="top" wrapText="1"/>
    </xf>
    <xf numFmtId="0" fontId="5" fillId="0" borderId="0" xfId="0" applyFont="1" applyAlignment="1">
      <alignment wrapText="1"/>
    </xf>
    <xf numFmtId="0" fontId="5" fillId="7" borderId="1" xfId="0" applyFont="1" applyFill="1" applyBorder="1" applyAlignment="1">
      <alignment horizontal="left" vertical="top" wrapText="1"/>
    </xf>
    <xf numFmtId="0" fontId="0" fillId="0" borderId="5" xfId="0" applyBorder="1"/>
    <xf numFmtId="0" fontId="5" fillId="0" borderId="1" xfId="0" applyFont="1" applyBorder="1"/>
    <xf numFmtId="0" fontId="5" fillId="0" borderId="1" xfId="0" applyFont="1" applyBorder="1" applyAlignment="1">
      <alignment wrapText="1"/>
    </xf>
    <xf numFmtId="0" fontId="0" fillId="0" borderId="6" xfId="0" applyBorder="1"/>
    <xf numFmtId="9" fontId="0" fillId="0" borderId="0" xfId="1" applyFont="1"/>
    <xf numFmtId="164" fontId="0" fillId="0" borderId="0" xfId="0" applyNumberFormat="1"/>
    <xf numFmtId="0" fontId="0" fillId="7" borderId="0" xfId="0" applyFill="1" applyAlignment="1">
      <alignment vertical="top"/>
    </xf>
    <xf numFmtId="0" fontId="0" fillId="7" borderId="1" xfId="0" applyFill="1" applyBorder="1" applyAlignment="1">
      <alignment vertical="top"/>
    </xf>
    <xf numFmtId="49" fontId="0" fillId="7" borderId="1" xfId="0" applyNumberFormat="1" applyFill="1" applyBorder="1" applyAlignment="1">
      <alignment vertical="top" wrapText="1"/>
    </xf>
    <xf numFmtId="49" fontId="0" fillId="7" borderId="1" xfId="0" applyNumberFormat="1" applyFill="1" applyBorder="1" applyAlignment="1">
      <alignment horizontal="left" vertical="top" wrapText="1"/>
    </xf>
    <xf numFmtId="49" fontId="0" fillId="7" borderId="0" xfId="0" applyNumberFormat="1" applyFill="1" applyAlignment="1">
      <alignment vertical="top"/>
    </xf>
    <xf numFmtId="0" fontId="2" fillId="7" borderId="1" xfId="0" applyFont="1" applyFill="1" applyBorder="1" applyAlignment="1">
      <alignment horizontal="center" vertical="center"/>
    </xf>
    <xf numFmtId="49" fontId="0" fillId="7" borderId="1" xfId="0" applyNumberFormat="1" applyFill="1" applyBorder="1" applyAlignment="1">
      <alignment vertical="top"/>
    </xf>
    <xf numFmtId="0" fontId="2" fillId="7" borderId="1" xfId="0" applyFont="1" applyFill="1" applyBorder="1" applyAlignment="1">
      <alignment vertical="top"/>
    </xf>
    <xf numFmtId="0" fontId="0" fillId="8" borderId="1" xfId="0" applyFill="1" applyBorder="1" applyAlignment="1">
      <alignment vertical="top"/>
    </xf>
    <xf numFmtId="0" fontId="2" fillId="8" borderId="1" xfId="0" applyFont="1" applyFill="1" applyBorder="1" applyAlignment="1">
      <alignment horizontal="center" vertical="center"/>
    </xf>
    <xf numFmtId="4" fontId="7" fillId="0" borderId="0" xfId="0" applyNumberFormat="1" applyFont="1" applyAlignment="1">
      <alignment vertical="top" wrapText="1"/>
    </xf>
    <xf numFmtId="4" fontId="6" fillId="0" borderId="1" xfId="0" applyNumberFormat="1" applyFont="1" applyBorder="1" applyAlignment="1">
      <alignment horizontal="center" vertical="center" wrapText="1"/>
    </xf>
    <xf numFmtId="4" fontId="6" fillId="0" borderId="0" xfId="0" applyNumberFormat="1" applyFont="1" applyAlignment="1">
      <alignment horizontal="center" vertical="center" wrapText="1"/>
    </xf>
    <xf numFmtId="4" fontId="7" fillId="0" borderId="1" xfId="0" applyNumberFormat="1" applyFont="1" applyBorder="1" applyAlignment="1">
      <alignment horizontal="right" vertical="top" wrapText="1"/>
    </xf>
    <xf numFmtId="4" fontId="7" fillId="0" borderId="1" xfId="0" applyNumberFormat="1" applyFont="1" applyBorder="1" applyAlignment="1">
      <alignment horizontal="left" vertical="top" wrapText="1"/>
    </xf>
    <xf numFmtId="4" fontId="6" fillId="0" borderId="1" xfId="0" applyNumberFormat="1" applyFont="1" applyBorder="1" applyAlignment="1">
      <alignment horizontal="right" vertical="top" wrapText="1"/>
    </xf>
    <xf numFmtId="4" fontId="6" fillId="0" borderId="0" xfId="0" applyNumberFormat="1" applyFont="1" applyAlignment="1">
      <alignment horizontal="right" vertical="top" wrapText="1"/>
    </xf>
    <xf numFmtId="4" fontId="7" fillId="0" borderId="0" xfId="0" applyNumberFormat="1" applyFont="1" applyAlignment="1">
      <alignment horizontal="right" vertical="top" wrapText="1"/>
    </xf>
    <xf numFmtId="49" fontId="6" fillId="0" borderId="1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vertical="top" wrapText="1"/>
    </xf>
    <xf numFmtId="0" fontId="7" fillId="0" borderId="1" xfId="0" applyFont="1" applyBorder="1" applyAlignment="1">
      <alignment horizontal="left" vertical="top" wrapText="1"/>
    </xf>
    <xf numFmtId="4" fontId="6" fillId="0" borderId="2" xfId="0" applyNumberFormat="1" applyFont="1" applyBorder="1" applyAlignment="1">
      <alignment horizontal="center" vertical="center" wrapText="1"/>
    </xf>
    <xf numFmtId="4" fontId="7" fillId="0" borderId="2" xfId="0" applyNumberFormat="1" applyFont="1" applyBorder="1" applyAlignment="1">
      <alignment horizontal="right" vertical="top" wrapText="1"/>
    </xf>
    <xf numFmtId="4" fontId="6" fillId="0" borderId="2" xfId="0" applyNumberFormat="1" applyFont="1" applyBorder="1" applyAlignment="1">
      <alignment horizontal="right" vertical="top" wrapText="1"/>
    </xf>
    <xf numFmtId="3" fontId="7" fillId="0" borderId="0" xfId="0" applyNumberFormat="1" applyFont="1" applyAlignment="1">
      <alignment vertical="top" wrapText="1"/>
    </xf>
    <xf numFmtId="3" fontId="6" fillId="0" borderId="1" xfId="0" applyNumberFormat="1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right" vertical="top" wrapText="1"/>
    </xf>
    <xf numFmtId="3" fontId="6" fillId="0" borderId="0" xfId="0" applyNumberFormat="1" applyFont="1" applyAlignment="1">
      <alignment horizontal="right" vertical="top" wrapText="1"/>
    </xf>
    <xf numFmtId="4" fontId="10" fillId="0" borderId="0" xfId="0" applyNumberFormat="1" applyFont="1" applyAlignment="1">
      <alignment horizontal="center" vertical="center" wrapText="1"/>
    </xf>
    <xf numFmtId="0" fontId="3" fillId="0" borderId="0" xfId="2" applyFont="1" applyAlignment="1">
      <alignment vertical="top" wrapText="1"/>
    </xf>
    <xf numFmtId="49" fontId="3" fillId="0" borderId="0" xfId="2" applyNumberFormat="1" applyFont="1" applyAlignment="1">
      <alignment vertical="top" wrapText="1"/>
    </xf>
    <xf numFmtId="49" fontId="3" fillId="0" borderId="0" xfId="2" applyNumberFormat="1" applyFont="1" applyAlignment="1">
      <alignment horizontal="center" vertical="top" wrapText="1"/>
    </xf>
    <xf numFmtId="0" fontId="3" fillId="0" borderId="0" xfId="2" applyFont="1" applyAlignment="1">
      <alignment horizontal="center" vertical="top" wrapText="1"/>
    </xf>
    <xf numFmtId="49" fontId="2" fillId="0" borderId="1" xfId="2" applyNumberFormat="1" applyFont="1" applyBorder="1" applyAlignment="1">
      <alignment horizontal="center" vertical="center" wrapText="1"/>
    </xf>
    <xf numFmtId="0" fontId="2" fillId="0" borderId="1" xfId="2" applyFont="1" applyBorder="1" applyAlignment="1">
      <alignment horizontal="center" vertical="center" wrapText="1"/>
    </xf>
    <xf numFmtId="49" fontId="2" fillId="7" borderId="1" xfId="2" applyNumberFormat="1" applyFont="1" applyFill="1" applyBorder="1" applyAlignment="1">
      <alignment horizontal="center" vertical="center" wrapText="1"/>
    </xf>
    <xf numFmtId="0" fontId="2" fillId="0" borderId="0" xfId="2" applyFont="1" applyAlignment="1">
      <alignment horizontal="center" vertical="center" wrapText="1"/>
    </xf>
    <xf numFmtId="49" fontId="2" fillId="8" borderId="1" xfId="2" applyNumberFormat="1" applyFont="1" applyFill="1" applyBorder="1" applyAlignment="1">
      <alignment horizontal="center" vertical="center" wrapText="1"/>
    </xf>
    <xf numFmtId="49" fontId="3" fillId="0" borderId="1" xfId="2" applyNumberFormat="1" applyFont="1" applyBorder="1" applyAlignment="1">
      <alignment horizontal="center" vertical="top" wrapText="1"/>
    </xf>
    <xf numFmtId="49" fontId="3" fillId="0" borderId="1" xfId="2" applyNumberFormat="1" applyFont="1" applyBorder="1" applyAlignment="1">
      <alignment vertical="top" wrapText="1"/>
    </xf>
    <xf numFmtId="0" fontId="3" fillId="0" borderId="1" xfId="2" applyFont="1" applyBorder="1" applyAlignment="1">
      <alignment horizontal="center" vertical="top" wrapText="1"/>
    </xf>
    <xf numFmtId="49" fontId="3" fillId="7" borderId="1" xfId="2" applyNumberFormat="1" applyFont="1" applyFill="1" applyBorder="1" applyAlignment="1">
      <alignment vertical="top" wrapText="1"/>
    </xf>
    <xf numFmtId="49" fontId="3" fillId="0" borderId="1" xfId="2" applyNumberFormat="1" applyFont="1" applyBorder="1" applyAlignment="1">
      <alignment horizontal="left" vertical="top" wrapText="1"/>
    </xf>
    <xf numFmtId="49" fontId="3" fillId="7" borderId="0" xfId="2" applyNumberFormat="1" applyFont="1" applyFill="1" applyAlignment="1">
      <alignment vertical="top" wrapText="1"/>
    </xf>
    <xf numFmtId="0" fontId="2" fillId="7" borderId="1" xfId="0" applyFont="1" applyFill="1" applyBorder="1" applyAlignment="1">
      <alignment horizontal="center" vertical="center"/>
    </xf>
    <xf numFmtId="0" fontId="0" fillId="0" borderId="5" xfId="0" applyBorder="1"/>
    <xf numFmtId="0" fontId="2" fillId="8" borderId="1" xfId="0" applyFont="1" applyFill="1" applyBorder="1" applyAlignment="1">
      <alignment horizontal="center" vertical="center"/>
    </xf>
    <xf numFmtId="0" fontId="0" fillId="0" borderId="3" xfId="0" applyBorder="1"/>
    <xf numFmtId="0" fontId="2" fillId="7" borderId="1" xfId="0" applyFont="1" applyFill="1" applyBorder="1" applyAlignment="1">
      <alignment horizontal="center" vertical="top"/>
    </xf>
    <xf numFmtId="0" fontId="0" fillId="0" borderId="9" xfId="0" applyBorder="1"/>
    <xf numFmtId="0" fontId="2" fillId="7" borderId="1" xfId="0" applyFont="1" applyFill="1" applyBorder="1" applyAlignment="1">
      <alignment horizontal="right" vertical="top"/>
    </xf>
    <xf numFmtId="49" fontId="2" fillId="7" borderId="1" xfId="0" applyNumberFormat="1" applyFont="1" applyFill="1" applyBorder="1" applyAlignment="1">
      <alignment horizontal="center" vertical="center"/>
    </xf>
    <xf numFmtId="4" fontId="7" fillId="0" borderId="1" xfId="0" applyNumberFormat="1" applyFont="1" applyBorder="1" applyAlignment="1">
      <alignment horizontal="left" vertical="top" wrapText="1"/>
    </xf>
    <xf numFmtId="4" fontId="10" fillId="0" borderId="15" xfId="0" applyNumberFormat="1" applyFont="1" applyBorder="1" applyAlignment="1">
      <alignment horizontal="right" vertical="center" wrapText="1"/>
    </xf>
    <xf numFmtId="0" fontId="0" fillId="0" borderId="15" xfId="0" applyBorder="1"/>
    <xf numFmtId="49" fontId="7" fillId="0" borderId="1" xfId="0" applyNumberFormat="1" applyFont="1" applyBorder="1" applyAlignment="1">
      <alignment horizontal="left" vertical="top" wrapText="1"/>
    </xf>
    <xf numFmtId="0" fontId="0" fillId="0" borderId="4" xfId="0" applyBorder="1"/>
    <xf numFmtId="4" fontId="6" fillId="0" borderId="1" xfId="0" applyNumberFormat="1" applyFont="1" applyBorder="1" applyAlignment="1">
      <alignment horizontal="center" vertical="center" wrapText="1"/>
    </xf>
    <xf numFmtId="3" fontId="7" fillId="0" borderId="1" xfId="0" applyNumberFormat="1" applyFont="1" applyBorder="1" applyAlignment="1">
      <alignment horizontal="right" vertical="top" wrapText="1"/>
    </xf>
    <xf numFmtId="49" fontId="7" fillId="0" borderId="1" xfId="0" applyNumberFormat="1" applyFont="1" applyBorder="1" applyAlignment="1">
      <alignment horizontal="center" vertical="top" wrapText="1"/>
    </xf>
    <xf numFmtId="49" fontId="9" fillId="0" borderId="0" xfId="0" applyNumberFormat="1" applyFont="1" applyAlignment="1">
      <alignment horizontal="left" vertical="top" wrapText="1"/>
    </xf>
    <xf numFmtId="49" fontId="7" fillId="0" borderId="0" xfId="0" applyNumberFormat="1" applyFont="1" applyAlignment="1">
      <alignment vertical="top" wrapText="1"/>
    </xf>
    <xf numFmtId="4" fontId="7" fillId="0" borderId="0" xfId="0" applyNumberFormat="1" applyFont="1" applyAlignment="1">
      <alignment vertical="top" wrapText="1"/>
    </xf>
    <xf numFmtId="4" fontId="7" fillId="0" borderId="0" xfId="0" applyNumberFormat="1" applyFont="1" applyAlignment="1">
      <alignment horizontal="right" vertical="top" wrapText="1"/>
    </xf>
    <xf numFmtId="3" fontId="7" fillId="0" borderId="0" xfId="0" applyNumberFormat="1" applyFont="1" applyAlignment="1">
      <alignment vertical="top" wrapText="1"/>
    </xf>
    <xf numFmtId="4" fontId="7" fillId="0" borderId="2" xfId="0" applyNumberFormat="1" applyFont="1" applyBorder="1" applyAlignment="1">
      <alignment horizontal="right" vertical="top" wrapText="1"/>
    </xf>
    <xf numFmtId="0" fontId="0" fillId="0" borderId="8" xfId="0" applyBorder="1"/>
    <xf numFmtId="0" fontId="0" fillId="0" borderId="16" xfId="0" applyBorder="1"/>
    <xf numFmtId="4" fontId="6" fillId="0" borderId="1" xfId="0" applyNumberFormat="1" applyFont="1" applyBorder="1" applyAlignment="1">
      <alignment horizontal="right" vertical="top" wrapText="1"/>
    </xf>
    <xf numFmtId="4" fontId="6" fillId="0" borderId="0" xfId="0" applyNumberFormat="1" applyFont="1" applyAlignment="1">
      <alignment horizontal="center" vertical="center" wrapText="1"/>
    </xf>
    <xf numFmtId="4" fontId="10" fillId="0" borderId="0" xfId="0" applyNumberFormat="1" applyFont="1" applyAlignment="1">
      <alignment horizontal="left" vertical="center" wrapText="1"/>
    </xf>
    <xf numFmtId="4" fontId="10" fillId="0" borderId="0" xfId="0" applyNumberFormat="1" applyFont="1" applyAlignment="1">
      <alignment horizontal="center" vertical="center" wrapText="1"/>
    </xf>
    <xf numFmtId="4" fontId="8" fillId="0" borderId="7" xfId="0" applyNumberFormat="1" applyFont="1" applyBorder="1" applyAlignment="1">
      <alignment horizontal="center" vertical="top" wrapText="1"/>
    </xf>
    <xf numFmtId="0" fontId="0" fillId="0" borderId="7" xfId="0" applyBorder="1"/>
    <xf numFmtId="49" fontId="7" fillId="0" borderId="6" xfId="0" applyNumberFormat="1" applyFont="1" applyBorder="1" applyAlignment="1">
      <alignment horizontal="center" vertical="top" wrapText="1"/>
    </xf>
    <xf numFmtId="4" fontId="6" fillId="0" borderId="0" xfId="0" applyNumberFormat="1" applyFont="1" applyAlignment="1">
      <alignment horizontal="left" vertical="top" wrapText="1"/>
    </xf>
    <xf numFmtId="4" fontId="6" fillId="0" borderId="0" xfId="0" applyNumberFormat="1" applyFont="1" applyAlignment="1">
      <alignment horizontal="right" vertical="top" wrapText="1"/>
    </xf>
    <xf numFmtId="4" fontId="7" fillId="0" borderId="1" xfId="0" applyNumberFormat="1" applyFont="1" applyBorder="1" applyAlignment="1">
      <alignment horizontal="right" vertical="top" wrapText="1"/>
    </xf>
    <xf numFmtId="3" fontId="7" fillId="0" borderId="6" xfId="0" applyNumberFormat="1" applyFont="1" applyBorder="1" applyAlignment="1">
      <alignment horizontal="right" vertical="top" wrapText="1"/>
    </xf>
    <xf numFmtId="49" fontId="7" fillId="0" borderId="6" xfId="0" applyNumberFormat="1" applyFont="1" applyBorder="1" applyAlignment="1">
      <alignment horizontal="left" vertical="top" wrapText="1"/>
    </xf>
    <xf numFmtId="0" fontId="2" fillId="8" borderId="1" xfId="2" applyFont="1" applyFill="1" applyBorder="1" applyAlignment="1">
      <alignment horizontal="left" vertical="center" wrapText="1"/>
    </xf>
    <xf numFmtId="49" fontId="11" fillId="0" borderId="0" xfId="2" applyNumberFormat="1" applyFont="1" applyAlignment="1">
      <alignment horizontal="center" vertical="top" wrapText="1"/>
    </xf>
    <xf numFmtId="49" fontId="3" fillId="0" borderId="0" xfId="2" applyNumberFormat="1" applyFont="1" applyAlignment="1">
      <alignment vertical="top" wrapText="1"/>
    </xf>
    <xf numFmtId="0" fontId="3" fillId="0" borderId="0" xfId="2" applyFont="1" applyAlignment="1">
      <alignment horizontal="center" vertical="top" wrapText="1"/>
    </xf>
    <xf numFmtId="49" fontId="3" fillId="7" borderId="0" xfId="2" applyNumberFormat="1" applyFont="1" applyFill="1" applyAlignment="1">
      <alignment vertical="top" wrapText="1"/>
    </xf>
    <xf numFmtId="0" fontId="3" fillId="0" borderId="1" xfId="2" applyFont="1" applyBorder="1" applyAlignment="1">
      <alignment horizontal="left" vertical="top" wrapText="1"/>
    </xf>
  </cellXfs>
  <cellStyles count="3">
    <cellStyle name="Обычный" xfId="0" builtinId="0"/>
    <cellStyle name="Обычный 2" xfId="2" xr:uid="{00000000-0005-0000-0000-000002000000}"/>
    <cellStyle name="Процентный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Стандартная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Стандартная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F55"/>
  <sheetViews>
    <sheetView workbookViewId="0">
      <selection sqref="A1:F1"/>
    </sheetView>
  </sheetViews>
  <sheetFormatPr defaultColWidth="8.90625" defaultRowHeight="14.5" x14ac:dyDescent="0.35"/>
  <cols>
    <col min="1" max="1" width="5.453125" style="52" customWidth="1"/>
    <col min="2" max="2" width="53.453125" style="52" customWidth="1"/>
    <col min="3" max="3" width="35.6328125" style="48" customWidth="1"/>
    <col min="4" max="4" width="15.453125" style="48" customWidth="1"/>
    <col min="5" max="6" width="16" style="48" customWidth="1"/>
    <col min="7" max="7" width="8.90625" style="48" customWidth="1"/>
    <col min="8" max="16384" width="8.90625" style="48"/>
  </cols>
  <sheetData>
    <row r="1" spans="1:6" x14ac:dyDescent="0.35">
      <c r="A1" s="96" t="s">
        <v>0</v>
      </c>
      <c r="B1" s="97"/>
      <c r="C1" s="97"/>
      <c r="D1" s="97"/>
      <c r="E1" s="97"/>
      <c r="F1" s="93"/>
    </row>
    <row r="2" spans="1:6" x14ac:dyDescent="0.35">
      <c r="A2" s="99" t="s">
        <v>1</v>
      </c>
      <c r="B2" s="99" t="s">
        <v>2</v>
      </c>
      <c r="C2" s="94" t="s">
        <v>3</v>
      </c>
      <c r="D2" s="94" t="s">
        <v>4</v>
      </c>
      <c r="E2" s="92" t="s">
        <v>5</v>
      </c>
      <c r="F2" s="93"/>
    </row>
    <row r="3" spans="1:6" x14ac:dyDescent="0.35">
      <c r="A3" s="95"/>
      <c r="B3" s="95"/>
      <c r="C3" s="95"/>
      <c r="D3" s="95"/>
      <c r="E3" s="57" t="s">
        <v>6</v>
      </c>
      <c r="F3" s="53" t="s">
        <v>7</v>
      </c>
    </row>
    <row r="4" spans="1:6" x14ac:dyDescent="0.35">
      <c r="A4" s="54" t="s">
        <v>8</v>
      </c>
      <c r="B4" s="50" t="s">
        <v>9</v>
      </c>
      <c r="C4" s="56" t="s">
        <v>10</v>
      </c>
      <c r="D4" s="56" t="s">
        <v>11</v>
      </c>
      <c r="E4" s="56">
        <f>(IF(C4='Оценка сложности задач'!$A$2,1,0)*IF(D4='Оценка сложности задач'!$B$2,1,0)*'Оценка сложности задач'!$G$2)+(IF(C4='Оценка сложности задач'!$A$3,1,0)*IF(D4='Оценка сложности задач'!$B$3,1,0)*'Оценка сложности задач'!$G$3)+(IF(C4='Оценка сложности задач'!$A$4,1,0)*IF(D4='Оценка сложности задач'!$B$4,1,0)*'Оценка сложности задач'!$G$4)+(IF(C4='Оценка сложности задач'!$A$5,1,0)*IF(D4='Оценка сложности задач'!$B$5,1,0)*'Оценка сложности задач'!$G$5)+(IF(C4='Оценка сложности задач'!$A$6,1,0)*IF(D4='Оценка сложности задач'!$B$6,1,0)*'Оценка сложности задач'!$G$6)+(IF(C4='Оценка сложности задач'!$A$7,1,0)*IF(D4='Оценка сложности задач'!$B$7,1,0)*'Оценка сложности задач'!$G$7)+(IF(C4='Оценка сложности задач'!$A$8,1,0)*IF(D4='Оценка сложности задач'!$B$8,1,0)*'Оценка сложности задач'!$G$8)+(IF(C4='Оценка сложности задач'!$A$10,1,0)*IF(D4='Оценка сложности задач'!$B$10,1,0)*'Оценка сложности задач'!$G$10)+(IF(C4='Оценка сложности задач'!$A$9,1,0)*IF(D4='Оценка сложности задач'!$B$9,1,0)*'Оценка сложности задач'!$G$9)+ (IF(C4='Оценка сложности задач'!$A$11,1,0)*IF(D4='Оценка сложности задач'!$B$11,1,0)*'Оценка сложности задач'!$G$11) + (IF(C4='Оценка сложности задач'!$A$12,1,0)*IF(D4='Оценка сложности задач'!$B$12,1,0)*'Оценка сложности задач'!$G$12) + (IF(C4='Оценка сложности задач'!$A$13,1,0)*IF(D4='Оценка сложности задач'!$B$13,1,0)*'Оценка сложности задач'!$G$13) + (IF(C4='Оценка сложности задач'!$A$14,1,0)*IF(D4='Оценка сложности задач'!$B$14,1,0)*'Оценка сложности задач'!$G$14) + (IF(C4='Оценка сложности задач'!$A$15,1,0)*IF(D4='Оценка сложности задач'!$B$15,1,0)*'Оценка сложности задач'!$G$15) + (IF(C4='Оценка сложности задач'!$A$16,1,0)*IF(D4='Оценка сложности задач'!$B$16,1,0)*'Оценка сложности задач'!$G$16) + (IF(C4='Оценка сложности задач'!$A$17,1,0)*IF(D4='Оценка сложности задач'!$B$17,1,0)*'Оценка сложности задач'!$G$17) + (IF(C4='Оценка сложности задач'!$A$18,1,0)*IF(D4='Оценка сложности задач'!$B$18,1,0)*'Оценка сложности задач'!$G$18) + (IF(C4='Оценка сложности задач'!$A$19,1,0)*IF(D4='Оценка сложности задач'!$B$19,1,0)*'Оценка сложности задач'!$G$19)+(IF(C4='Оценка сложности задач'!$A$20,1,0)*IF(D4='Оценка сложности задач'!$B$20,1,0)*'Оценка сложности задач'!$G$20)+(IF(C4='Оценка сложности задач'!$A$21,1,0)*IF(D4='Оценка сложности задач'!$B$21,1,0)*'Оценка сложности задач'!$G$21)+(IF(C4='Оценка сложности задач'!$A$22,1,0)*IF(D4='Оценка сложности задач'!$B$22,1,0)*'Оценка сложности задач'!$G$22)+(IF(C4='Оценка сложности задач'!$A$23,1,0)*IF(D4='Оценка сложности задач'!$B$23,1,0)*'Оценка сложности задач'!$G$23)+(IF(C4='Оценка сложности задач'!$A$24,1,0)*IF(D4='Оценка сложности задач'!$B$24,1,0)*'Оценка сложности задач'!$G$24)+(IF(C4='Оценка сложности задач'!$A$25,1,0)*IF(D4='Оценка сложности задач'!$B$25,1,0)*'Оценка сложности задач'!$G$25)+(IF(C4='Оценка сложности задач'!$A$26,1,0)*IF(D4='Оценка сложности задач'!$B$26,1,0)*'Оценка сложности задач'!$G$26)+(IF(C4='Оценка сложности задач'!$A$27,1,0)*IF(D4='Оценка сложности задач'!$B$27,1,0)*'Оценка сложности задач'!$G$27)+(IF(C4='Оценка сложности задач'!$A$28,1,0)*IF(D4='Оценка сложности задач'!$B$28,1,0)*'Оценка сложности задач'!$G$28)+(IF(C4='Оценка сложности задач'!$A$29,1,0)*IF(D4='Оценка сложности задач'!$B$29,1,0)*'Оценка сложности задач'!$G$29)+(IF(C4='Оценка сложности задач'!$A$30,1,0)*IF(D4='Оценка сложности задач'!$B$30,1,0)*'Оценка сложности задач'!$G$30)+(IF(C4='Оценка сложности задач'!$A$31,1,0)*IF(D4='Оценка сложности задач'!$B$31,1,0)*'Оценка сложности задач'!$G$31)+(IF(C4='Оценка сложности задач'!$A$32,1,0)*IF(D4='Оценка сложности задач'!$B$32,1,0)*'Оценка сложности задач'!$G$32)+(IF(C4='Оценка сложности задач'!$A$33,1,0)*IF(D4='Оценка сложности задач'!$B$33,1,0)*'Оценка сложности задач'!$G$33)+(IF(C4='Оценка сложности задач'!$A$34,1,0)*IF(D4='Оценка сложности задач'!$B$34,1,0)*'Оценка сложности задач'!$G$34)+(IF(C4='Оценка сложности задач'!$A$35,1,0)*IF(D4='Оценка сложности задач'!$B$35,1,0)*'Оценка сложности задач'!$G$35)+(IF(C4='Оценка сложности задач'!$A$36,1,0)*IF(D4='Оценка сложности задач'!$B$36,1,0)*'Оценка сложности задач'!$G$36)+(IF(C4='Оценка сложности задач'!$A$37,1,0)*IF(D4='Оценка сложности задач'!$B$37,1,0)*'Оценка сложности задач'!$G$37)+(IF(C4='Оценка сложности задач'!$A$38,1,0)*IF(D4='Оценка сложности задач'!$B$38,1,0)*'Оценка сложности задач'!$G$38)+(IF(C4='Оценка сложности задач'!$A$39,1,0)*IF(D4='Оценка сложности задач'!$B$39,1,0)*'Оценка сложности задач'!$G$39)+(IF(C4='Оценка сложности задач'!$A$40,1,0)*IF(D4='Оценка сложности задач'!$B$40,1,0)*'Оценка сложности задач'!$G$40)</f>
        <v>6</v>
      </c>
      <c r="F4" s="49"/>
    </row>
    <row r="5" spans="1:6" ht="29" x14ac:dyDescent="0.35">
      <c r="A5" s="54" t="s">
        <v>12</v>
      </c>
      <c r="B5" s="50" t="s">
        <v>13</v>
      </c>
      <c r="C5" s="56" t="s">
        <v>14</v>
      </c>
      <c r="D5" s="56" t="s">
        <v>11</v>
      </c>
      <c r="E5" s="56">
        <f>(IF(C5='Оценка сложности задач'!$A$2,1,0)*IF(D5='Оценка сложности задач'!$B$2,1,0)*'Оценка сложности задач'!$G$2)+(IF(C5='Оценка сложности задач'!$A$3,1,0)*IF(D5='Оценка сложности задач'!$B$3,1,0)*'Оценка сложности задач'!$G$3)+(IF(C5='Оценка сложности задач'!$A$4,1,0)*IF(D5='Оценка сложности задач'!$B$4,1,0)*'Оценка сложности задач'!$G$4)+(IF(C5='Оценка сложности задач'!$A$5,1,0)*IF(D5='Оценка сложности задач'!$B$5,1,0)*'Оценка сложности задач'!$G$5)+(IF(C5='Оценка сложности задач'!$A$6,1,0)*IF(D5='Оценка сложности задач'!$B$6,1,0)*'Оценка сложности задач'!$G$6)+(IF(C5='Оценка сложности задач'!$A$7,1,0)*IF(D5='Оценка сложности задач'!$B$7,1,0)*'Оценка сложности задач'!$G$7)+(IF(C5='Оценка сложности задач'!$A$8,1,0)*IF(D5='Оценка сложности задач'!$B$8,1,0)*'Оценка сложности задач'!$G$8)+(IF(C5='Оценка сложности задач'!$A$10,1,0)*IF(D5='Оценка сложности задач'!$B$10,1,0)*'Оценка сложности задач'!$G$10)+(IF(C5='Оценка сложности задач'!$A$9,1,0)*IF(D5='Оценка сложности задач'!$B$9,1,0)*'Оценка сложности задач'!$G$9)+ (IF(C5='Оценка сложности задач'!$A$11,1,0)*IF(D5='Оценка сложности задач'!$B$11,1,0)*'Оценка сложности задач'!$G$11) + (IF(C5='Оценка сложности задач'!$A$12,1,0)*IF(D5='Оценка сложности задач'!$B$12,1,0)*'Оценка сложности задач'!$G$12) + (IF(C5='Оценка сложности задач'!$A$13,1,0)*IF(D5='Оценка сложности задач'!$B$13,1,0)*'Оценка сложности задач'!$G$13) + (IF(C5='Оценка сложности задач'!$A$14,1,0)*IF(D5='Оценка сложности задач'!$B$14,1,0)*'Оценка сложности задач'!$G$14) + (IF(C5='Оценка сложности задач'!$A$15,1,0)*IF(D5='Оценка сложности задач'!$B$15,1,0)*'Оценка сложности задач'!$G$15) + (IF(C5='Оценка сложности задач'!$A$16,1,0)*IF(D5='Оценка сложности задач'!$B$16,1,0)*'Оценка сложности задач'!$G$16) + (IF(C5='Оценка сложности задач'!$A$17,1,0)*IF(D5='Оценка сложности задач'!$B$17,1,0)*'Оценка сложности задач'!$G$17) + (IF(C5='Оценка сложности задач'!$A$18,1,0)*IF(D5='Оценка сложности задач'!$B$18,1,0)*'Оценка сложности задач'!$G$18) + (IF(C5='Оценка сложности задач'!$A$19,1,0)*IF(D5='Оценка сложности задач'!$B$19,1,0)*'Оценка сложности задач'!$G$19)+(IF(C5='Оценка сложности задач'!$A$20,1,0)*IF(D5='Оценка сложности задач'!$B$20,1,0)*'Оценка сложности задач'!$G$20)+(IF(C5='Оценка сложности задач'!$A$21,1,0)*IF(D5='Оценка сложности задач'!$B$21,1,0)*'Оценка сложности задач'!$G$21)+(IF(C5='Оценка сложности задач'!$A$22,1,0)*IF(D5='Оценка сложности задач'!$B$22,1,0)*'Оценка сложности задач'!$G$22)+(IF(C5='Оценка сложности задач'!$A$23,1,0)*IF(D5='Оценка сложности задач'!$B$23,1,0)*'Оценка сложности задач'!$G$23)+(IF(C5='Оценка сложности задач'!$A$24,1,0)*IF(D5='Оценка сложности задач'!$B$24,1,0)*'Оценка сложности задач'!$G$24)+(IF(C5='Оценка сложности задач'!$A$25,1,0)*IF(D5='Оценка сложности задач'!$B$25,1,0)*'Оценка сложности задач'!$G$25)+(IF(C5='Оценка сложности задач'!$A$26,1,0)*IF(D5='Оценка сложности задач'!$B$26,1,0)*'Оценка сложности задач'!$G$26)+(IF(C5='Оценка сложности задач'!$A$27,1,0)*IF(D5='Оценка сложности задач'!$B$27,1,0)*'Оценка сложности задач'!$G$27)+(IF(C5='Оценка сложности задач'!$A$28,1,0)*IF(D5='Оценка сложности задач'!$B$28,1,0)*'Оценка сложности задач'!$G$28)+(IF(C5='Оценка сложности задач'!$A$29,1,0)*IF(D5='Оценка сложности задач'!$B$29,1,0)*'Оценка сложности задач'!$G$29)+(IF(C5='Оценка сложности задач'!$A$30,1,0)*IF(D5='Оценка сложности задач'!$B$30,1,0)*'Оценка сложности задач'!$G$30)+(IF(C5='Оценка сложности задач'!$A$31,1,0)*IF(D5='Оценка сложности задач'!$B$31,1,0)*'Оценка сложности задач'!$G$31)+(IF(C5='Оценка сложности задач'!$A$32,1,0)*IF(D5='Оценка сложности задач'!$B$32,1,0)*'Оценка сложности задач'!$G$32)+(IF(C5='Оценка сложности задач'!$A$33,1,0)*IF(D5='Оценка сложности задач'!$B$33,1,0)*'Оценка сложности задач'!$G$33)+(IF(C5='Оценка сложности задач'!$A$34,1,0)*IF(D5='Оценка сложности задач'!$B$34,1,0)*'Оценка сложности задач'!$G$34)+(IF(C5='Оценка сложности задач'!$A$35,1,0)*IF(D5='Оценка сложности задач'!$B$35,1,0)*'Оценка сложности задач'!$G$35)+(IF(C5='Оценка сложности задач'!$A$36,1,0)*IF(D5='Оценка сложности задач'!$B$36,1,0)*'Оценка сложности задач'!$G$36)+(IF(C5='Оценка сложности задач'!$A$37,1,0)*IF(D5='Оценка сложности задач'!$B$37,1,0)*'Оценка сложности задач'!$G$37)+(IF(C5='Оценка сложности задач'!$A$38,1,0)*IF(D5='Оценка сложности задач'!$B$38,1,0)*'Оценка сложности задач'!$G$38)+(IF(C5='Оценка сложности задач'!$A$39,1,0)*IF(D5='Оценка сложности задач'!$B$39,1,0)*'Оценка сложности задач'!$G$39)+(IF(C5='Оценка сложности задач'!$A$40,1,0)*IF(D5='Оценка сложности задач'!$B$40,1,0)*'Оценка сложности задач'!$G$40)</f>
        <v>6</v>
      </c>
      <c r="F5" s="49"/>
    </row>
    <row r="6" spans="1:6" x14ac:dyDescent="0.35">
      <c r="A6" s="54" t="s">
        <v>15</v>
      </c>
      <c r="B6" s="50" t="s">
        <v>16</v>
      </c>
      <c r="C6" s="56" t="s">
        <v>17</v>
      </c>
      <c r="D6" s="56" t="s">
        <v>18</v>
      </c>
      <c r="E6" s="56">
        <f>(IF(C6='Оценка сложности задач'!$A$2,1,0)*IF(D6='Оценка сложности задач'!$B$2,1,0)*'Оценка сложности задач'!$G$2)+(IF(C6='Оценка сложности задач'!$A$3,1,0)*IF(D6='Оценка сложности задач'!$B$3,1,0)*'Оценка сложности задач'!$G$3)+(IF(C6='Оценка сложности задач'!$A$4,1,0)*IF(D6='Оценка сложности задач'!$B$4,1,0)*'Оценка сложности задач'!$G$4)+(IF(C6='Оценка сложности задач'!$A$5,1,0)*IF(D6='Оценка сложности задач'!$B$5,1,0)*'Оценка сложности задач'!$G$5)+(IF(C6='Оценка сложности задач'!$A$6,1,0)*IF(D6='Оценка сложности задач'!$B$6,1,0)*'Оценка сложности задач'!$G$6)+(IF(C6='Оценка сложности задач'!$A$7,1,0)*IF(D6='Оценка сложности задач'!$B$7,1,0)*'Оценка сложности задач'!$G$7)+(IF(C6='Оценка сложности задач'!$A$8,1,0)*IF(D6='Оценка сложности задач'!$B$8,1,0)*'Оценка сложности задач'!$G$8)+(IF(C6='Оценка сложности задач'!$A$10,1,0)*IF(D6='Оценка сложности задач'!$B$10,1,0)*'Оценка сложности задач'!$G$10)+(IF(C6='Оценка сложности задач'!$A$9,1,0)*IF(D6='Оценка сложности задач'!$B$9,1,0)*'Оценка сложности задач'!$G$9)+ (IF(C6='Оценка сложности задач'!$A$11,1,0)*IF(D6='Оценка сложности задач'!$B$11,1,0)*'Оценка сложности задач'!$G$11) + (IF(C6='Оценка сложности задач'!$A$12,1,0)*IF(D6='Оценка сложности задач'!$B$12,1,0)*'Оценка сложности задач'!$G$12) + (IF(C6='Оценка сложности задач'!$A$13,1,0)*IF(D6='Оценка сложности задач'!$B$13,1,0)*'Оценка сложности задач'!$G$13) + (IF(C6='Оценка сложности задач'!$A$14,1,0)*IF(D6='Оценка сложности задач'!$B$14,1,0)*'Оценка сложности задач'!$G$14) + (IF(C6='Оценка сложности задач'!$A$15,1,0)*IF(D6='Оценка сложности задач'!$B$15,1,0)*'Оценка сложности задач'!$G$15) + (IF(C6='Оценка сложности задач'!$A$16,1,0)*IF(D6='Оценка сложности задач'!$B$16,1,0)*'Оценка сложности задач'!$G$16) + (IF(C6='Оценка сложности задач'!$A$17,1,0)*IF(D6='Оценка сложности задач'!$B$17,1,0)*'Оценка сложности задач'!$G$17) + (IF(C6='Оценка сложности задач'!$A$18,1,0)*IF(D6='Оценка сложности задач'!$B$18,1,0)*'Оценка сложности задач'!$G$18) + (IF(C6='Оценка сложности задач'!$A$19,1,0)*IF(D6='Оценка сложности задач'!$B$19,1,0)*'Оценка сложности задач'!$G$19)+(IF(C6='Оценка сложности задач'!$A$20,1,0)*IF(D6='Оценка сложности задач'!$B$20,1,0)*'Оценка сложности задач'!$G$20)+(IF(C6='Оценка сложности задач'!$A$21,1,0)*IF(D6='Оценка сложности задач'!$B$21,1,0)*'Оценка сложности задач'!$G$21)+(IF(C6='Оценка сложности задач'!$A$22,1,0)*IF(D6='Оценка сложности задач'!$B$22,1,0)*'Оценка сложности задач'!$G$22)+(IF(C6='Оценка сложности задач'!$A$23,1,0)*IF(D6='Оценка сложности задач'!$B$23,1,0)*'Оценка сложности задач'!$G$23)+(IF(C6='Оценка сложности задач'!$A$24,1,0)*IF(D6='Оценка сложности задач'!$B$24,1,0)*'Оценка сложности задач'!$G$24)+(IF(C6='Оценка сложности задач'!$A$25,1,0)*IF(D6='Оценка сложности задач'!$B$25,1,0)*'Оценка сложности задач'!$G$25)+(IF(C6='Оценка сложности задач'!$A$26,1,0)*IF(D6='Оценка сложности задач'!$B$26,1,0)*'Оценка сложности задач'!$G$26)+(IF(C6='Оценка сложности задач'!$A$27,1,0)*IF(D6='Оценка сложности задач'!$B$27,1,0)*'Оценка сложности задач'!$G$27)+(IF(C6='Оценка сложности задач'!$A$28,1,0)*IF(D6='Оценка сложности задач'!$B$28,1,0)*'Оценка сложности задач'!$G$28)+(IF(C6='Оценка сложности задач'!$A$29,1,0)*IF(D6='Оценка сложности задач'!$B$29,1,0)*'Оценка сложности задач'!$G$29)+(IF(C6='Оценка сложности задач'!$A$30,1,0)*IF(D6='Оценка сложности задач'!$B$30,1,0)*'Оценка сложности задач'!$G$30)+(IF(C6='Оценка сложности задач'!$A$31,1,0)*IF(D6='Оценка сложности задач'!$B$31,1,0)*'Оценка сложности задач'!$G$31)+(IF(C6='Оценка сложности задач'!$A$32,1,0)*IF(D6='Оценка сложности задач'!$B$32,1,0)*'Оценка сложности задач'!$G$32)+(IF(C6='Оценка сложности задач'!$A$33,1,0)*IF(D6='Оценка сложности задач'!$B$33,1,0)*'Оценка сложности задач'!$G$33)+(IF(C6='Оценка сложности задач'!$A$34,1,0)*IF(D6='Оценка сложности задач'!$B$34,1,0)*'Оценка сложности задач'!$G$34)+(IF(C6='Оценка сложности задач'!$A$35,1,0)*IF(D6='Оценка сложности задач'!$B$35,1,0)*'Оценка сложности задач'!$G$35)+(IF(C6='Оценка сложности задач'!$A$36,1,0)*IF(D6='Оценка сложности задач'!$B$36,1,0)*'Оценка сложности задач'!$G$36)+(IF(C6='Оценка сложности задач'!$A$37,1,0)*IF(D6='Оценка сложности задач'!$B$37,1,0)*'Оценка сложности задач'!$G$37)+(IF(C6='Оценка сложности задач'!$A$38,1,0)*IF(D6='Оценка сложности задач'!$B$38,1,0)*'Оценка сложности задач'!$G$38)+(IF(C6='Оценка сложности задач'!$A$39,1,0)*IF(D6='Оценка сложности задач'!$B$39,1,0)*'Оценка сложности задач'!$G$39)+(IF(C6='Оценка сложности задач'!$A$40,1,0)*IF(D6='Оценка сложности задач'!$B$40,1,0)*'Оценка сложности задач'!$G$40)</f>
        <v>11</v>
      </c>
      <c r="F6" s="49"/>
    </row>
    <row r="7" spans="1:6" x14ac:dyDescent="0.35">
      <c r="A7" s="54" t="s">
        <v>19</v>
      </c>
      <c r="B7" s="50" t="s">
        <v>20</v>
      </c>
      <c r="C7" s="56" t="s">
        <v>21</v>
      </c>
      <c r="D7" s="56" t="s">
        <v>18</v>
      </c>
      <c r="E7" s="56">
        <f>(IF(C7='Оценка сложности задач'!$A$2,1,0)*IF(D7='Оценка сложности задач'!$B$2,1,0)*'Оценка сложности задач'!$G$2)+(IF(C7='Оценка сложности задач'!$A$3,1,0)*IF(D7='Оценка сложности задач'!$B$3,1,0)*'Оценка сложности задач'!$G$3)+(IF(C7='Оценка сложности задач'!$A$4,1,0)*IF(D7='Оценка сложности задач'!$B$4,1,0)*'Оценка сложности задач'!$G$4)+(IF(C7='Оценка сложности задач'!$A$5,1,0)*IF(D7='Оценка сложности задач'!$B$5,1,0)*'Оценка сложности задач'!$G$5)+(IF(C7='Оценка сложности задач'!$A$6,1,0)*IF(D7='Оценка сложности задач'!$B$6,1,0)*'Оценка сложности задач'!$G$6)+(IF(C7='Оценка сложности задач'!$A$7,1,0)*IF(D7='Оценка сложности задач'!$B$7,1,0)*'Оценка сложности задач'!$G$7)+(IF(C7='Оценка сложности задач'!$A$8,1,0)*IF(D7='Оценка сложности задач'!$B$8,1,0)*'Оценка сложности задач'!$G$8)+(IF(C7='Оценка сложности задач'!$A$10,1,0)*IF(D7='Оценка сложности задач'!$B$10,1,0)*'Оценка сложности задач'!$G$10)+(IF(C7='Оценка сложности задач'!$A$9,1,0)*IF(D7='Оценка сложности задач'!$B$9,1,0)*'Оценка сложности задач'!$G$9)+ (IF(C7='Оценка сложности задач'!$A$11,1,0)*IF(D7='Оценка сложности задач'!$B$11,1,0)*'Оценка сложности задач'!$G$11) + (IF(C7='Оценка сложности задач'!$A$12,1,0)*IF(D7='Оценка сложности задач'!$B$12,1,0)*'Оценка сложности задач'!$G$12) + (IF(C7='Оценка сложности задач'!$A$13,1,0)*IF(D7='Оценка сложности задач'!$B$13,1,0)*'Оценка сложности задач'!$G$13) + (IF(C7='Оценка сложности задач'!$A$14,1,0)*IF(D7='Оценка сложности задач'!$B$14,1,0)*'Оценка сложности задач'!$G$14) + (IF(C7='Оценка сложности задач'!$A$15,1,0)*IF(D7='Оценка сложности задач'!$B$15,1,0)*'Оценка сложности задач'!$G$15) + (IF(C7='Оценка сложности задач'!$A$16,1,0)*IF(D7='Оценка сложности задач'!$B$16,1,0)*'Оценка сложности задач'!$G$16) + (IF(C7='Оценка сложности задач'!$A$17,1,0)*IF(D7='Оценка сложности задач'!$B$17,1,0)*'Оценка сложности задач'!$G$17) + (IF(C7='Оценка сложности задач'!$A$18,1,0)*IF(D7='Оценка сложности задач'!$B$18,1,0)*'Оценка сложности задач'!$G$18) + (IF(C7='Оценка сложности задач'!$A$19,1,0)*IF(D7='Оценка сложности задач'!$B$19,1,0)*'Оценка сложности задач'!$G$19)+(IF(C7='Оценка сложности задач'!$A$20,1,0)*IF(D7='Оценка сложности задач'!$B$20,1,0)*'Оценка сложности задач'!$G$20)+(IF(C7='Оценка сложности задач'!$A$21,1,0)*IF(D7='Оценка сложности задач'!$B$21,1,0)*'Оценка сложности задач'!$G$21)+(IF(C7='Оценка сложности задач'!$A$22,1,0)*IF(D7='Оценка сложности задач'!$B$22,1,0)*'Оценка сложности задач'!$G$22)+(IF(C7='Оценка сложности задач'!$A$23,1,0)*IF(D7='Оценка сложности задач'!$B$23,1,0)*'Оценка сложности задач'!$G$23)+(IF(C7='Оценка сложности задач'!$A$24,1,0)*IF(D7='Оценка сложности задач'!$B$24,1,0)*'Оценка сложности задач'!$G$24)+(IF(C7='Оценка сложности задач'!$A$25,1,0)*IF(D7='Оценка сложности задач'!$B$25,1,0)*'Оценка сложности задач'!$G$25)+(IF(C7='Оценка сложности задач'!$A$26,1,0)*IF(D7='Оценка сложности задач'!$B$26,1,0)*'Оценка сложности задач'!$G$26)+(IF(C7='Оценка сложности задач'!$A$27,1,0)*IF(D7='Оценка сложности задач'!$B$27,1,0)*'Оценка сложности задач'!$G$27)+(IF(C7='Оценка сложности задач'!$A$28,1,0)*IF(D7='Оценка сложности задач'!$B$28,1,0)*'Оценка сложности задач'!$G$28)+(IF(C7='Оценка сложности задач'!$A$29,1,0)*IF(D7='Оценка сложности задач'!$B$29,1,0)*'Оценка сложности задач'!$G$29)+(IF(C7='Оценка сложности задач'!$A$30,1,0)*IF(D7='Оценка сложности задач'!$B$30,1,0)*'Оценка сложности задач'!$G$30)+(IF(C7='Оценка сложности задач'!$A$31,1,0)*IF(D7='Оценка сложности задач'!$B$31,1,0)*'Оценка сложности задач'!$G$31)+(IF(C7='Оценка сложности задач'!$A$32,1,0)*IF(D7='Оценка сложности задач'!$B$32,1,0)*'Оценка сложности задач'!$G$32)+(IF(C7='Оценка сложности задач'!$A$33,1,0)*IF(D7='Оценка сложности задач'!$B$33,1,0)*'Оценка сложности задач'!$G$33)+(IF(C7='Оценка сложности задач'!$A$34,1,0)*IF(D7='Оценка сложности задач'!$B$34,1,0)*'Оценка сложности задач'!$G$34)+(IF(C7='Оценка сложности задач'!$A$35,1,0)*IF(D7='Оценка сложности задач'!$B$35,1,0)*'Оценка сложности задач'!$G$35)+(IF(C7='Оценка сложности задач'!$A$36,1,0)*IF(D7='Оценка сложности задач'!$B$36,1,0)*'Оценка сложности задач'!$G$36)+(IF(C7='Оценка сложности задач'!$A$37,1,0)*IF(D7='Оценка сложности задач'!$B$37,1,0)*'Оценка сложности задач'!$G$37)+(IF(C7='Оценка сложности задач'!$A$38,1,0)*IF(D7='Оценка сложности задач'!$B$38,1,0)*'Оценка сложности задач'!$G$38)+(IF(C7='Оценка сложности задач'!$A$39,1,0)*IF(D7='Оценка сложности задач'!$B$39,1,0)*'Оценка сложности задач'!$G$39)+(IF(C7='Оценка сложности задач'!$A$40,1,0)*IF(D7='Оценка сложности задач'!$B$40,1,0)*'Оценка сложности задач'!$G$40)</f>
        <v>6</v>
      </c>
      <c r="F7" s="49"/>
    </row>
    <row r="8" spans="1:6" ht="29" x14ac:dyDescent="0.35">
      <c r="A8" s="54" t="s">
        <v>22</v>
      </c>
      <c r="B8" s="50" t="s">
        <v>23</v>
      </c>
      <c r="C8" s="56" t="s">
        <v>21</v>
      </c>
      <c r="D8" s="56" t="s">
        <v>18</v>
      </c>
      <c r="E8" s="56">
        <f>(IF(C8='Оценка сложности задач'!$A$2,1,0)*IF(D8='Оценка сложности задач'!$B$2,1,0)*'Оценка сложности задач'!$G$2)+(IF(C8='Оценка сложности задач'!$A$3,1,0)*IF(D8='Оценка сложности задач'!$B$3,1,0)*'Оценка сложности задач'!$G$3)+(IF(C8='Оценка сложности задач'!$A$4,1,0)*IF(D8='Оценка сложности задач'!$B$4,1,0)*'Оценка сложности задач'!$G$4)+(IF(C8='Оценка сложности задач'!$A$5,1,0)*IF(D8='Оценка сложности задач'!$B$5,1,0)*'Оценка сложности задач'!$G$5)+(IF(C8='Оценка сложности задач'!$A$6,1,0)*IF(D8='Оценка сложности задач'!$B$6,1,0)*'Оценка сложности задач'!$G$6)+(IF(C8='Оценка сложности задач'!$A$7,1,0)*IF(D8='Оценка сложности задач'!$B$7,1,0)*'Оценка сложности задач'!$G$7)+(IF(C8='Оценка сложности задач'!$A$8,1,0)*IF(D8='Оценка сложности задач'!$B$8,1,0)*'Оценка сложности задач'!$G$8)+(IF(C8='Оценка сложности задач'!$A$10,1,0)*IF(D8='Оценка сложности задач'!$B$10,1,0)*'Оценка сложности задач'!$G$10)+(IF(C8='Оценка сложности задач'!$A$9,1,0)*IF(D8='Оценка сложности задач'!$B$9,1,0)*'Оценка сложности задач'!$G$9)+ (IF(C8='Оценка сложности задач'!$A$11,1,0)*IF(D8='Оценка сложности задач'!$B$11,1,0)*'Оценка сложности задач'!$G$11) + (IF(C8='Оценка сложности задач'!$A$12,1,0)*IF(D8='Оценка сложности задач'!$B$12,1,0)*'Оценка сложности задач'!$G$12) + (IF(C8='Оценка сложности задач'!$A$13,1,0)*IF(D8='Оценка сложности задач'!$B$13,1,0)*'Оценка сложности задач'!$G$13) + (IF(C8='Оценка сложности задач'!$A$14,1,0)*IF(D8='Оценка сложности задач'!$B$14,1,0)*'Оценка сложности задач'!$G$14) + (IF(C8='Оценка сложности задач'!$A$15,1,0)*IF(D8='Оценка сложности задач'!$B$15,1,0)*'Оценка сложности задач'!$G$15) + (IF(C8='Оценка сложности задач'!$A$16,1,0)*IF(D8='Оценка сложности задач'!$B$16,1,0)*'Оценка сложности задач'!$G$16) + (IF(C8='Оценка сложности задач'!$A$17,1,0)*IF(D8='Оценка сложности задач'!$B$17,1,0)*'Оценка сложности задач'!$G$17) + (IF(C8='Оценка сложности задач'!$A$18,1,0)*IF(D8='Оценка сложности задач'!$B$18,1,0)*'Оценка сложности задач'!$G$18) + (IF(C8='Оценка сложности задач'!$A$19,1,0)*IF(D8='Оценка сложности задач'!$B$19,1,0)*'Оценка сложности задач'!$G$19)+(IF(C8='Оценка сложности задач'!$A$20,1,0)*IF(D8='Оценка сложности задач'!$B$20,1,0)*'Оценка сложности задач'!$G$20)+(IF(C8='Оценка сложности задач'!$A$21,1,0)*IF(D8='Оценка сложности задач'!$B$21,1,0)*'Оценка сложности задач'!$G$21)+(IF(C8='Оценка сложности задач'!$A$22,1,0)*IF(D8='Оценка сложности задач'!$B$22,1,0)*'Оценка сложности задач'!$G$22)+(IF(C8='Оценка сложности задач'!$A$23,1,0)*IF(D8='Оценка сложности задач'!$B$23,1,0)*'Оценка сложности задач'!$G$23)+(IF(C8='Оценка сложности задач'!$A$24,1,0)*IF(D8='Оценка сложности задач'!$B$24,1,0)*'Оценка сложности задач'!$G$24)+(IF(C8='Оценка сложности задач'!$A$25,1,0)*IF(D8='Оценка сложности задач'!$B$25,1,0)*'Оценка сложности задач'!$G$25)+(IF(C8='Оценка сложности задач'!$A$26,1,0)*IF(D8='Оценка сложности задач'!$B$26,1,0)*'Оценка сложности задач'!$G$26)+(IF(C8='Оценка сложности задач'!$A$27,1,0)*IF(D8='Оценка сложности задач'!$B$27,1,0)*'Оценка сложности задач'!$G$27)+(IF(C8='Оценка сложности задач'!$A$28,1,0)*IF(D8='Оценка сложности задач'!$B$28,1,0)*'Оценка сложности задач'!$G$28)+(IF(C8='Оценка сложности задач'!$A$29,1,0)*IF(D8='Оценка сложности задач'!$B$29,1,0)*'Оценка сложности задач'!$G$29)+(IF(C8='Оценка сложности задач'!$A$30,1,0)*IF(D8='Оценка сложности задач'!$B$30,1,0)*'Оценка сложности задач'!$G$30)+(IF(C8='Оценка сложности задач'!$A$31,1,0)*IF(D8='Оценка сложности задач'!$B$31,1,0)*'Оценка сложности задач'!$G$31)+(IF(C8='Оценка сложности задач'!$A$32,1,0)*IF(D8='Оценка сложности задач'!$B$32,1,0)*'Оценка сложности задач'!$G$32)+(IF(C8='Оценка сложности задач'!$A$33,1,0)*IF(D8='Оценка сложности задач'!$B$33,1,0)*'Оценка сложности задач'!$G$33)+(IF(C8='Оценка сложности задач'!$A$34,1,0)*IF(D8='Оценка сложности задач'!$B$34,1,0)*'Оценка сложности задач'!$G$34)+(IF(C8='Оценка сложности задач'!$A$35,1,0)*IF(D8='Оценка сложности задач'!$B$35,1,0)*'Оценка сложности задач'!$G$35)+(IF(C8='Оценка сложности задач'!$A$36,1,0)*IF(D8='Оценка сложности задач'!$B$36,1,0)*'Оценка сложности задач'!$G$36)+(IF(C8='Оценка сложности задач'!$A$37,1,0)*IF(D8='Оценка сложности задач'!$B$37,1,0)*'Оценка сложности задач'!$G$37)+(IF(C8='Оценка сложности задач'!$A$38,1,0)*IF(D8='Оценка сложности задач'!$B$38,1,0)*'Оценка сложности задач'!$G$38)+(IF(C8='Оценка сложности задач'!$A$39,1,0)*IF(D8='Оценка сложности задач'!$B$39,1,0)*'Оценка сложности задач'!$G$39)+(IF(C8='Оценка сложности задач'!$A$40,1,0)*IF(D8='Оценка сложности задач'!$B$40,1,0)*'Оценка сложности задач'!$G$40)</f>
        <v>6</v>
      </c>
      <c r="F8" s="49"/>
    </row>
    <row r="9" spans="1:6" ht="29" x14ac:dyDescent="0.35">
      <c r="A9" s="54" t="s">
        <v>24</v>
      </c>
      <c r="B9" s="50" t="s">
        <v>25</v>
      </c>
      <c r="C9" s="56" t="s">
        <v>26</v>
      </c>
      <c r="D9" s="56" t="s">
        <v>18</v>
      </c>
      <c r="E9" s="56">
        <f>(IF(C9='Оценка сложности задач'!$A$2,1,0)*IF(D9='Оценка сложности задач'!$B$2,1,0)*'Оценка сложности задач'!$G$2)+(IF(C9='Оценка сложности задач'!$A$3,1,0)*IF(D9='Оценка сложности задач'!$B$3,1,0)*'Оценка сложности задач'!$G$3)+(IF(C9='Оценка сложности задач'!$A$4,1,0)*IF(D9='Оценка сложности задач'!$B$4,1,0)*'Оценка сложности задач'!$G$4)+(IF(C9='Оценка сложности задач'!$A$5,1,0)*IF(D9='Оценка сложности задач'!$B$5,1,0)*'Оценка сложности задач'!$G$5)+(IF(C9='Оценка сложности задач'!$A$6,1,0)*IF(D9='Оценка сложности задач'!$B$6,1,0)*'Оценка сложности задач'!$G$6)+(IF(C9='Оценка сложности задач'!$A$7,1,0)*IF(D9='Оценка сложности задач'!$B$7,1,0)*'Оценка сложности задач'!$G$7)+(IF(C9='Оценка сложности задач'!$A$8,1,0)*IF(D9='Оценка сложности задач'!$B$8,1,0)*'Оценка сложности задач'!$G$8)+(IF(C9='Оценка сложности задач'!$A$10,1,0)*IF(D9='Оценка сложности задач'!$B$10,1,0)*'Оценка сложности задач'!$G$10)+(IF(C9='Оценка сложности задач'!$A$9,1,0)*IF(D9='Оценка сложности задач'!$B$9,1,0)*'Оценка сложности задач'!$G$9)+ (IF(C9='Оценка сложности задач'!$A$11,1,0)*IF(D9='Оценка сложности задач'!$B$11,1,0)*'Оценка сложности задач'!$G$11) + (IF(C9='Оценка сложности задач'!$A$12,1,0)*IF(D9='Оценка сложности задач'!$B$12,1,0)*'Оценка сложности задач'!$G$12) + (IF(C9='Оценка сложности задач'!$A$13,1,0)*IF(D9='Оценка сложности задач'!$B$13,1,0)*'Оценка сложности задач'!$G$13) + (IF(C9='Оценка сложности задач'!$A$14,1,0)*IF(D9='Оценка сложности задач'!$B$14,1,0)*'Оценка сложности задач'!$G$14) + (IF(C9='Оценка сложности задач'!$A$15,1,0)*IF(D9='Оценка сложности задач'!$B$15,1,0)*'Оценка сложности задач'!$G$15) + (IF(C9='Оценка сложности задач'!$A$16,1,0)*IF(D9='Оценка сложности задач'!$B$16,1,0)*'Оценка сложности задач'!$G$16) + (IF(C9='Оценка сложности задач'!$A$17,1,0)*IF(D9='Оценка сложности задач'!$B$17,1,0)*'Оценка сложности задач'!$G$17) + (IF(C9='Оценка сложности задач'!$A$18,1,0)*IF(D9='Оценка сложности задач'!$B$18,1,0)*'Оценка сложности задач'!$G$18) + (IF(C9='Оценка сложности задач'!$A$19,1,0)*IF(D9='Оценка сложности задач'!$B$19,1,0)*'Оценка сложности задач'!$G$19)+(IF(C9='Оценка сложности задач'!$A$20,1,0)*IF(D9='Оценка сложности задач'!$B$20,1,0)*'Оценка сложности задач'!$G$20)+(IF(C9='Оценка сложности задач'!$A$21,1,0)*IF(D9='Оценка сложности задач'!$B$21,1,0)*'Оценка сложности задач'!$G$21)+(IF(C9='Оценка сложности задач'!$A$22,1,0)*IF(D9='Оценка сложности задач'!$B$22,1,0)*'Оценка сложности задач'!$G$22)+(IF(C9='Оценка сложности задач'!$A$23,1,0)*IF(D9='Оценка сложности задач'!$B$23,1,0)*'Оценка сложности задач'!$G$23)+(IF(C9='Оценка сложности задач'!$A$24,1,0)*IF(D9='Оценка сложности задач'!$B$24,1,0)*'Оценка сложности задач'!$G$24)+(IF(C9='Оценка сложности задач'!$A$25,1,0)*IF(D9='Оценка сложности задач'!$B$25,1,0)*'Оценка сложности задач'!$G$25)+(IF(C9='Оценка сложности задач'!$A$26,1,0)*IF(D9='Оценка сложности задач'!$B$26,1,0)*'Оценка сложности задач'!$G$26)+(IF(C9='Оценка сложности задач'!$A$27,1,0)*IF(D9='Оценка сложности задач'!$B$27,1,0)*'Оценка сложности задач'!$G$27)+(IF(C9='Оценка сложности задач'!$A$28,1,0)*IF(D9='Оценка сложности задач'!$B$28,1,0)*'Оценка сложности задач'!$G$28)+(IF(C9='Оценка сложности задач'!$A$29,1,0)*IF(D9='Оценка сложности задач'!$B$29,1,0)*'Оценка сложности задач'!$G$29)+(IF(C9='Оценка сложности задач'!$A$30,1,0)*IF(D9='Оценка сложности задач'!$B$30,1,0)*'Оценка сложности задач'!$G$30)+(IF(C9='Оценка сложности задач'!$A$31,1,0)*IF(D9='Оценка сложности задач'!$B$31,1,0)*'Оценка сложности задач'!$G$31)+(IF(C9='Оценка сложности задач'!$A$32,1,0)*IF(D9='Оценка сложности задач'!$B$32,1,0)*'Оценка сложности задач'!$G$32)+(IF(C9='Оценка сложности задач'!$A$33,1,0)*IF(D9='Оценка сложности задач'!$B$33,1,0)*'Оценка сложности задач'!$G$33)+(IF(C9='Оценка сложности задач'!$A$34,1,0)*IF(D9='Оценка сложности задач'!$B$34,1,0)*'Оценка сложности задач'!$G$34)+(IF(C9='Оценка сложности задач'!$A$35,1,0)*IF(D9='Оценка сложности задач'!$B$35,1,0)*'Оценка сложности задач'!$G$35)+(IF(C9='Оценка сложности задач'!$A$36,1,0)*IF(D9='Оценка сложности задач'!$B$36,1,0)*'Оценка сложности задач'!$G$36)+(IF(C9='Оценка сложности задач'!$A$37,1,0)*IF(D9='Оценка сложности задач'!$B$37,1,0)*'Оценка сложности задач'!$G$37)+(IF(C9='Оценка сложности задач'!$A$38,1,0)*IF(D9='Оценка сложности задач'!$B$38,1,0)*'Оценка сложности задач'!$G$38)+(IF(C9='Оценка сложности задач'!$A$39,1,0)*IF(D9='Оценка сложности задач'!$B$39,1,0)*'Оценка сложности задач'!$G$39)+(IF(C9='Оценка сложности задач'!$A$40,1,0)*IF(D9='Оценка сложности задач'!$B$40,1,0)*'Оценка сложности задач'!$G$40)</f>
        <v>32</v>
      </c>
      <c r="F9" s="49"/>
    </row>
    <row r="10" spans="1:6" x14ac:dyDescent="0.35">
      <c r="A10" s="54" t="s">
        <v>27</v>
      </c>
      <c r="B10" s="50" t="s">
        <v>28</v>
      </c>
      <c r="C10" s="56" t="s">
        <v>29</v>
      </c>
      <c r="D10" s="56" t="s">
        <v>18</v>
      </c>
      <c r="E10" s="56">
        <f>(IF(C10='Оценка сложности задач'!$A$2,1,0)*IF(D10='Оценка сложности задач'!$B$2,1,0)*'Оценка сложности задач'!$G$2)+(IF(C10='Оценка сложности задач'!$A$3,1,0)*IF(D10='Оценка сложности задач'!$B$3,1,0)*'Оценка сложности задач'!$G$3)+(IF(C10='Оценка сложности задач'!$A$4,1,0)*IF(D10='Оценка сложности задач'!$B$4,1,0)*'Оценка сложности задач'!$G$4)+(IF(C10='Оценка сложности задач'!$A$5,1,0)*IF(D10='Оценка сложности задач'!$B$5,1,0)*'Оценка сложности задач'!$G$5)+(IF(C10='Оценка сложности задач'!$A$6,1,0)*IF(D10='Оценка сложности задач'!$B$6,1,0)*'Оценка сложности задач'!$G$6)+(IF(C10='Оценка сложности задач'!$A$7,1,0)*IF(D10='Оценка сложности задач'!$B$7,1,0)*'Оценка сложности задач'!$G$7)+(IF(C10='Оценка сложности задач'!$A$8,1,0)*IF(D10='Оценка сложности задач'!$B$8,1,0)*'Оценка сложности задач'!$G$8)+(IF(C10='Оценка сложности задач'!$A$10,1,0)*IF(D10='Оценка сложности задач'!$B$10,1,0)*'Оценка сложности задач'!$G$10)+(IF(C10='Оценка сложности задач'!$A$9,1,0)*IF(D10='Оценка сложности задач'!$B$9,1,0)*'Оценка сложности задач'!$G$9)+ (IF(C10='Оценка сложности задач'!$A$11,1,0)*IF(D10='Оценка сложности задач'!$B$11,1,0)*'Оценка сложности задач'!$G$11) + (IF(C10='Оценка сложности задач'!$A$12,1,0)*IF(D10='Оценка сложности задач'!$B$12,1,0)*'Оценка сложности задач'!$G$12) + (IF(C10='Оценка сложности задач'!$A$13,1,0)*IF(D10='Оценка сложности задач'!$B$13,1,0)*'Оценка сложности задач'!$G$13) + (IF(C10='Оценка сложности задач'!$A$14,1,0)*IF(D10='Оценка сложности задач'!$B$14,1,0)*'Оценка сложности задач'!$G$14) + (IF(C10='Оценка сложности задач'!$A$15,1,0)*IF(D10='Оценка сложности задач'!$B$15,1,0)*'Оценка сложности задач'!$G$15) + (IF(C10='Оценка сложности задач'!$A$16,1,0)*IF(D10='Оценка сложности задач'!$B$16,1,0)*'Оценка сложности задач'!$G$16) + (IF(C10='Оценка сложности задач'!$A$17,1,0)*IF(D10='Оценка сложности задач'!$B$17,1,0)*'Оценка сложности задач'!$G$17) + (IF(C10='Оценка сложности задач'!$A$18,1,0)*IF(D10='Оценка сложности задач'!$B$18,1,0)*'Оценка сложности задач'!$G$18) + (IF(C10='Оценка сложности задач'!$A$19,1,0)*IF(D10='Оценка сложности задач'!$B$19,1,0)*'Оценка сложности задач'!$G$19)+(IF(C10='Оценка сложности задач'!$A$20,1,0)*IF(D10='Оценка сложности задач'!$B$20,1,0)*'Оценка сложности задач'!$G$20)+(IF(C10='Оценка сложности задач'!$A$21,1,0)*IF(D10='Оценка сложности задач'!$B$21,1,0)*'Оценка сложности задач'!$G$21)+(IF(C10='Оценка сложности задач'!$A$22,1,0)*IF(D10='Оценка сложности задач'!$B$22,1,0)*'Оценка сложности задач'!$G$22)+(IF(C10='Оценка сложности задач'!$A$23,1,0)*IF(D10='Оценка сложности задач'!$B$23,1,0)*'Оценка сложности задач'!$G$23)+(IF(C10='Оценка сложности задач'!$A$24,1,0)*IF(D10='Оценка сложности задач'!$B$24,1,0)*'Оценка сложности задач'!$G$24)+(IF(C10='Оценка сложности задач'!$A$25,1,0)*IF(D10='Оценка сложности задач'!$B$25,1,0)*'Оценка сложности задач'!$G$25)+(IF(C10='Оценка сложности задач'!$A$26,1,0)*IF(D10='Оценка сложности задач'!$B$26,1,0)*'Оценка сложности задач'!$G$26)+(IF(C10='Оценка сложности задач'!$A$27,1,0)*IF(D10='Оценка сложности задач'!$B$27,1,0)*'Оценка сложности задач'!$G$27)+(IF(C10='Оценка сложности задач'!$A$28,1,0)*IF(D10='Оценка сложности задач'!$B$28,1,0)*'Оценка сложности задач'!$G$28)+(IF(C10='Оценка сложности задач'!$A$29,1,0)*IF(D10='Оценка сложности задач'!$B$29,1,0)*'Оценка сложности задач'!$G$29)+(IF(C10='Оценка сложности задач'!$A$30,1,0)*IF(D10='Оценка сложности задач'!$B$30,1,0)*'Оценка сложности задач'!$G$30)+(IF(C10='Оценка сложности задач'!$A$31,1,0)*IF(D10='Оценка сложности задач'!$B$31,1,0)*'Оценка сложности задач'!$G$31)+(IF(C10='Оценка сложности задач'!$A$32,1,0)*IF(D10='Оценка сложности задач'!$B$32,1,0)*'Оценка сложности задач'!$G$32)+(IF(C10='Оценка сложности задач'!$A$33,1,0)*IF(D10='Оценка сложности задач'!$B$33,1,0)*'Оценка сложности задач'!$G$33)+(IF(C10='Оценка сложности задач'!$A$34,1,0)*IF(D10='Оценка сложности задач'!$B$34,1,0)*'Оценка сложности задач'!$G$34)+(IF(C10='Оценка сложности задач'!$A$35,1,0)*IF(D10='Оценка сложности задач'!$B$35,1,0)*'Оценка сложности задач'!$G$35)+(IF(C10='Оценка сложности задач'!$A$36,1,0)*IF(D10='Оценка сложности задач'!$B$36,1,0)*'Оценка сложности задач'!$G$36)+(IF(C10='Оценка сложности задач'!$A$37,1,0)*IF(D10='Оценка сложности задач'!$B$37,1,0)*'Оценка сложности задач'!$G$37)+(IF(C10='Оценка сложности задач'!$A$38,1,0)*IF(D10='Оценка сложности задач'!$B$38,1,0)*'Оценка сложности задач'!$G$38)+(IF(C10='Оценка сложности задач'!$A$39,1,0)*IF(D10='Оценка сложности задач'!$B$39,1,0)*'Оценка сложности задач'!$G$39)+(IF(C10='Оценка сложности задач'!$A$40,1,0)*IF(D10='Оценка сложности задач'!$B$40,1,0)*'Оценка сложности задач'!$G$40)</f>
        <v>32</v>
      </c>
      <c r="F10" s="49"/>
    </row>
    <row r="11" spans="1:6" ht="29" x14ac:dyDescent="0.35">
      <c r="A11" s="54" t="s">
        <v>30</v>
      </c>
      <c r="B11" s="50" t="s">
        <v>31</v>
      </c>
      <c r="C11" s="56" t="s">
        <v>32</v>
      </c>
      <c r="D11" s="56" t="s">
        <v>18</v>
      </c>
      <c r="E11" s="56">
        <f>(IF(C11='Оценка сложности задач'!$A$2,1,0)*IF(D11='Оценка сложности задач'!$B$2,1,0)*'Оценка сложности задач'!$G$2)+(IF(C11='Оценка сложности задач'!$A$3,1,0)*IF(D11='Оценка сложности задач'!$B$3,1,0)*'Оценка сложности задач'!$G$3)+(IF(C11='Оценка сложности задач'!$A$4,1,0)*IF(D11='Оценка сложности задач'!$B$4,1,0)*'Оценка сложности задач'!$G$4)+(IF(C11='Оценка сложности задач'!$A$5,1,0)*IF(D11='Оценка сложности задач'!$B$5,1,0)*'Оценка сложности задач'!$G$5)+(IF(C11='Оценка сложности задач'!$A$6,1,0)*IF(D11='Оценка сложности задач'!$B$6,1,0)*'Оценка сложности задач'!$G$6)+(IF(C11='Оценка сложности задач'!$A$7,1,0)*IF(D11='Оценка сложности задач'!$B$7,1,0)*'Оценка сложности задач'!$G$7)+(IF(C11='Оценка сложности задач'!$A$8,1,0)*IF(D11='Оценка сложности задач'!$B$8,1,0)*'Оценка сложности задач'!$G$8)+(IF(C11='Оценка сложности задач'!$A$10,1,0)*IF(D11='Оценка сложности задач'!$B$10,1,0)*'Оценка сложности задач'!$G$10)+(IF(C11='Оценка сложности задач'!$A$9,1,0)*IF(D11='Оценка сложности задач'!$B$9,1,0)*'Оценка сложности задач'!$G$9)+ (IF(C11='Оценка сложности задач'!$A$11,1,0)*IF(D11='Оценка сложности задач'!$B$11,1,0)*'Оценка сложности задач'!$G$11) + (IF(C11='Оценка сложности задач'!$A$12,1,0)*IF(D11='Оценка сложности задач'!$B$12,1,0)*'Оценка сложности задач'!$G$12) + (IF(C11='Оценка сложности задач'!$A$13,1,0)*IF(D11='Оценка сложности задач'!$B$13,1,0)*'Оценка сложности задач'!$G$13) + (IF(C11='Оценка сложности задач'!$A$14,1,0)*IF(D11='Оценка сложности задач'!$B$14,1,0)*'Оценка сложности задач'!$G$14) + (IF(C11='Оценка сложности задач'!$A$15,1,0)*IF(D11='Оценка сложности задач'!$B$15,1,0)*'Оценка сложности задач'!$G$15) + (IF(C11='Оценка сложности задач'!$A$16,1,0)*IF(D11='Оценка сложности задач'!$B$16,1,0)*'Оценка сложности задач'!$G$16) + (IF(C11='Оценка сложности задач'!$A$17,1,0)*IF(D11='Оценка сложности задач'!$B$17,1,0)*'Оценка сложности задач'!$G$17) + (IF(C11='Оценка сложности задач'!$A$18,1,0)*IF(D11='Оценка сложности задач'!$B$18,1,0)*'Оценка сложности задач'!$G$18) + (IF(C11='Оценка сложности задач'!$A$19,1,0)*IF(D11='Оценка сложности задач'!$B$19,1,0)*'Оценка сложности задач'!$G$19)+(IF(C11='Оценка сложности задач'!$A$20,1,0)*IF(D11='Оценка сложности задач'!$B$20,1,0)*'Оценка сложности задач'!$G$20)+(IF(C11='Оценка сложности задач'!$A$21,1,0)*IF(D11='Оценка сложности задач'!$B$21,1,0)*'Оценка сложности задач'!$G$21)+(IF(C11='Оценка сложности задач'!$A$22,1,0)*IF(D11='Оценка сложности задач'!$B$22,1,0)*'Оценка сложности задач'!$G$22)+(IF(C11='Оценка сложности задач'!$A$23,1,0)*IF(D11='Оценка сложности задач'!$B$23,1,0)*'Оценка сложности задач'!$G$23)+(IF(C11='Оценка сложности задач'!$A$24,1,0)*IF(D11='Оценка сложности задач'!$B$24,1,0)*'Оценка сложности задач'!$G$24)+(IF(C11='Оценка сложности задач'!$A$25,1,0)*IF(D11='Оценка сложности задач'!$B$25,1,0)*'Оценка сложности задач'!$G$25)+(IF(C11='Оценка сложности задач'!$A$26,1,0)*IF(D11='Оценка сложности задач'!$B$26,1,0)*'Оценка сложности задач'!$G$26)+(IF(C11='Оценка сложности задач'!$A$27,1,0)*IF(D11='Оценка сложности задач'!$B$27,1,0)*'Оценка сложности задач'!$G$27)+(IF(C11='Оценка сложности задач'!$A$28,1,0)*IF(D11='Оценка сложности задач'!$B$28,1,0)*'Оценка сложности задач'!$G$28)+(IF(C11='Оценка сложности задач'!$A$29,1,0)*IF(D11='Оценка сложности задач'!$B$29,1,0)*'Оценка сложности задач'!$G$29)+(IF(C11='Оценка сложности задач'!$A$30,1,0)*IF(D11='Оценка сложности задач'!$B$30,1,0)*'Оценка сложности задач'!$G$30)+(IF(C11='Оценка сложности задач'!$A$31,1,0)*IF(D11='Оценка сложности задач'!$B$31,1,0)*'Оценка сложности задач'!$G$31)+(IF(C11='Оценка сложности задач'!$A$32,1,0)*IF(D11='Оценка сложности задач'!$B$32,1,0)*'Оценка сложности задач'!$G$32)+(IF(C11='Оценка сложности задач'!$A$33,1,0)*IF(D11='Оценка сложности задач'!$B$33,1,0)*'Оценка сложности задач'!$G$33)+(IF(C11='Оценка сложности задач'!$A$34,1,0)*IF(D11='Оценка сложности задач'!$B$34,1,0)*'Оценка сложности задач'!$G$34)+(IF(C11='Оценка сложности задач'!$A$35,1,0)*IF(D11='Оценка сложности задач'!$B$35,1,0)*'Оценка сложности задач'!$G$35)+(IF(C11='Оценка сложности задач'!$A$36,1,0)*IF(D11='Оценка сложности задач'!$B$36,1,0)*'Оценка сложности задач'!$G$36)+(IF(C11='Оценка сложности задач'!$A$37,1,0)*IF(D11='Оценка сложности задач'!$B$37,1,0)*'Оценка сложности задач'!$G$37)+(IF(C11='Оценка сложности задач'!$A$38,1,0)*IF(D11='Оценка сложности задач'!$B$38,1,0)*'Оценка сложности задач'!$G$38)+(IF(C11='Оценка сложности задач'!$A$39,1,0)*IF(D11='Оценка сложности задач'!$B$39,1,0)*'Оценка сложности задач'!$G$39)+(IF(C11='Оценка сложности задач'!$A$40,1,0)*IF(D11='Оценка сложности задач'!$B$40,1,0)*'Оценка сложности задач'!$G$40)</f>
        <v>32</v>
      </c>
      <c r="F11" s="49"/>
    </row>
    <row r="12" spans="1:6" x14ac:dyDescent="0.35">
      <c r="A12" s="54" t="s">
        <v>33</v>
      </c>
      <c r="B12" s="50" t="s">
        <v>34</v>
      </c>
      <c r="C12" s="56" t="s">
        <v>17</v>
      </c>
      <c r="D12" s="56" t="s">
        <v>18</v>
      </c>
      <c r="E12" s="56">
        <f>(IF(C12='Оценка сложности задач'!$A$2,1,0)*IF(D12='Оценка сложности задач'!$B$2,1,0)*'Оценка сложности задач'!$G$2)+(IF(C12='Оценка сложности задач'!$A$3,1,0)*IF(D12='Оценка сложности задач'!$B$3,1,0)*'Оценка сложности задач'!$G$3)+(IF(C12='Оценка сложности задач'!$A$4,1,0)*IF(D12='Оценка сложности задач'!$B$4,1,0)*'Оценка сложности задач'!$G$4)+(IF(C12='Оценка сложности задач'!$A$5,1,0)*IF(D12='Оценка сложности задач'!$B$5,1,0)*'Оценка сложности задач'!$G$5)+(IF(C12='Оценка сложности задач'!$A$6,1,0)*IF(D12='Оценка сложности задач'!$B$6,1,0)*'Оценка сложности задач'!$G$6)+(IF(C12='Оценка сложности задач'!$A$7,1,0)*IF(D12='Оценка сложности задач'!$B$7,1,0)*'Оценка сложности задач'!$G$7)+(IF(C12='Оценка сложности задач'!$A$8,1,0)*IF(D12='Оценка сложности задач'!$B$8,1,0)*'Оценка сложности задач'!$G$8)+(IF(C12='Оценка сложности задач'!$A$10,1,0)*IF(D12='Оценка сложности задач'!$B$10,1,0)*'Оценка сложности задач'!$G$10)+(IF(C12='Оценка сложности задач'!$A$9,1,0)*IF(D12='Оценка сложности задач'!$B$9,1,0)*'Оценка сложности задач'!$G$9)+ (IF(C12='Оценка сложности задач'!$A$11,1,0)*IF(D12='Оценка сложности задач'!$B$11,1,0)*'Оценка сложности задач'!$G$11) + (IF(C12='Оценка сложности задач'!$A$12,1,0)*IF(D12='Оценка сложности задач'!$B$12,1,0)*'Оценка сложности задач'!$G$12) + (IF(C12='Оценка сложности задач'!$A$13,1,0)*IF(D12='Оценка сложности задач'!$B$13,1,0)*'Оценка сложности задач'!$G$13) + (IF(C12='Оценка сложности задач'!$A$14,1,0)*IF(D12='Оценка сложности задач'!$B$14,1,0)*'Оценка сложности задач'!$G$14) + (IF(C12='Оценка сложности задач'!$A$15,1,0)*IF(D12='Оценка сложности задач'!$B$15,1,0)*'Оценка сложности задач'!$G$15) + (IF(C12='Оценка сложности задач'!$A$16,1,0)*IF(D12='Оценка сложности задач'!$B$16,1,0)*'Оценка сложности задач'!$G$16) + (IF(C12='Оценка сложности задач'!$A$17,1,0)*IF(D12='Оценка сложности задач'!$B$17,1,0)*'Оценка сложности задач'!$G$17) + (IF(C12='Оценка сложности задач'!$A$18,1,0)*IF(D12='Оценка сложности задач'!$B$18,1,0)*'Оценка сложности задач'!$G$18) + (IF(C12='Оценка сложности задач'!$A$19,1,0)*IF(D12='Оценка сложности задач'!$B$19,1,0)*'Оценка сложности задач'!$G$19)+(IF(C12='Оценка сложности задач'!$A$20,1,0)*IF(D12='Оценка сложности задач'!$B$20,1,0)*'Оценка сложности задач'!$G$20)+(IF(C12='Оценка сложности задач'!$A$21,1,0)*IF(D12='Оценка сложности задач'!$B$21,1,0)*'Оценка сложности задач'!$G$21)+(IF(C12='Оценка сложности задач'!$A$22,1,0)*IF(D12='Оценка сложности задач'!$B$22,1,0)*'Оценка сложности задач'!$G$22)+(IF(C12='Оценка сложности задач'!$A$23,1,0)*IF(D12='Оценка сложности задач'!$B$23,1,0)*'Оценка сложности задач'!$G$23)+(IF(C12='Оценка сложности задач'!$A$24,1,0)*IF(D12='Оценка сложности задач'!$B$24,1,0)*'Оценка сложности задач'!$G$24)+(IF(C12='Оценка сложности задач'!$A$25,1,0)*IF(D12='Оценка сложности задач'!$B$25,1,0)*'Оценка сложности задач'!$G$25)+(IF(C12='Оценка сложности задач'!$A$26,1,0)*IF(D12='Оценка сложности задач'!$B$26,1,0)*'Оценка сложности задач'!$G$26)+(IF(C12='Оценка сложности задач'!$A$27,1,0)*IF(D12='Оценка сложности задач'!$B$27,1,0)*'Оценка сложности задач'!$G$27)+(IF(C12='Оценка сложности задач'!$A$28,1,0)*IF(D12='Оценка сложности задач'!$B$28,1,0)*'Оценка сложности задач'!$G$28)+(IF(C12='Оценка сложности задач'!$A$29,1,0)*IF(D12='Оценка сложности задач'!$B$29,1,0)*'Оценка сложности задач'!$G$29)+(IF(C12='Оценка сложности задач'!$A$30,1,0)*IF(D12='Оценка сложности задач'!$B$30,1,0)*'Оценка сложности задач'!$G$30)+(IF(C12='Оценка сложности задач'!$A$31,1,0)*IF(D12='Оценка сложности задач'!$B$31,1,0)*'Оценка сложности задач'!$G$31)+(IF(C12='Оценка сложности задач'!$A$32,1,0)*IF(D12='Оценка сложности задач'!$B$32,1,0)*'Оценка сложности задач'!$G$32)+(IF(C12='Оценка сложности задач'!$A$33,1,0)*IF(D12='Оценка сложности задач'!$B$33,1,0)*'Оценка сложности задач'!$G$33)+(IF(C12='Оценка сложности задач'!$A$34,1,0)*IF(D12='Оценка сложности задач'!$B$34,1,0)*'Оценка сложности задач'!$G$34)+(IF(C12='Оценка сложности задач'!$A$35,1,0)*IF(D12='Оценка сложности задач'!$B$35,1,0)*'Оценка сложности задач'!$G$35)+(IF(C12='Оценка сложности задач'!$A$36,1,0)*IF(D12='Оценка сложности задач'!$B$36,1,0)*'Оценка сложности задач'!$G$36)+(IF(C12='Оценка сложности задач'!$A$37,1,0)*IF(D12='Оценка сложности задач'!$B$37,1,0)*'Оценка сложности задач'!$G$37)+(IF(C12='Оценка сложности задач'!$A$38,1,0)*IF(D12='Оценка сложности задач'!$B$38,1,0)*'Оценка сложности задач'!$G$38)+(IF(C12='Оценка сложности задач'!$A$39,1,0)*IF(D12='Оценка сложности задач'!$B$39,1,0)*'Оценка сложности задач'!$G$39)+(IF(C12='Оценка сложности задач'!$A$40,1,0)*IF(D12='Оценка сложности задач'!$B$40,1,0)*'Оценка сложности задач'!$G$40)</f>
        <v>11</v>
      </c>
      <c r="F12" s="49"/>
    </row>
    <row r="13" spans="1:6" x14ac:dyDescent="0.35">
      <c r="A13" s="54" t="s">
        <v>35</v>
      </c>
      <c r="B13" s="50" t="s">
        <v>36</v>
      </c>
      <c r="C13" s="56" t="s">
        <v>10</v>
      </c>
      <c r="D13" s="56" t="s">
        <v>11</v>
      </c>
      <c r="E13" s="56">
        <f>(IF(C13='Оценка сложности задач'!$A$2,1,0)*IF(D13='Оценка сложности задач'!$B$2,1,0)*'Оценка сложности задач'!$G$2)+(IF(C13='Оценка сложности задач'!$A$3,1,0)*IF(D13='Оценка сложности задач'!$B$3,1,0)*'Оценка сложности задач'!$G$3)+(IF(C13='Оценка сложности задач'!$A$4,1,0)*IF(D13='Оценка сложности задач'!$B$4,1,0)*'Оценка сложности задач'!$G$4)+(IF(C13='Оценка сложности задач'!$A$5,1,0)*IF(D13='Оценка сложности задач'!$B$5,1,0)*'Оценка сложности задач'!$G$5)+(IF(C13='Оценка сложности задач'!$A$6,1,0)*IF(D13='Оценка сложности задач'!$B$6,1,0)*'Оценка сложности задач'!$G$6)+(IF(C13='Оценка сложности задач'!$A$7,1,0)*IF(D13='Оценка сложности задач'!$B$7,1,0)*'Оценка сложности задач'!$G$7)+(IF(C13='Оценка сложности задач'!$A$8,1,0)*IF(D13='Оценка сложности задач'!$B$8,1,0)*'Оценка сложности задач'!$G$8)+(IF(C13='Оценка сложности задач'!$A$10,1,0)*IF(D13='Оценка сложности задач'!$B$10,1,0)*'Оценка сложности задач'!$G$10)+(IF(C13='Оценка сложности задач'!$A$9,1,0)*IF(D13='Оценка сложности задач'!$B$9,1,0)*'Оценка сложности задач'!$G$9)+ (IF(C13='Оценка сложности задач'!$A$11,1,0)*IF(D13='Оценка сложности задач'!$B$11,1,0)*'Оценка сложности задач'!$G$11) + (IF(C13='Оценка сложности задач'!$A$12,1,0)*IF(D13='Оценка сложности задач'!$B$12,1,0)*'Оценка сложности задач'!$G$12) + (IF(C13='Оценка сложности задач'!$A$13,1,0)*IF(D13='Оценка сложности задач'!$B$13,1,0)*'Оценка сложности задач'!$G$13) + (IF(C13='Оценка сложности задач'!$A$14,1,0)*IF(D13='Оценка сложности задач'!$B$14,1,0)*'Оценка сложности задач'!$G$14) + (IF(C13='Оценка сложности задач'!$A$15,1,0)*IF(D13='Оценка сложности задач'!$B$15,1,0)*'Оценка сложности задач'!$G$15) + (IF(C13='Оценка сложности задач'!$A$16,1,0)*IF(D13='Оценка сложности задач'!$B$16,1,0)*'Оценка сложности задач'!$G$16) + (IF(C13='Оценка сложности задач'!$A$17,1,0)*IF(D13='Оценка сложности задач'!$B$17,1,0)*'Оценка сложности задач'!$G$17) + (IF(C13='Оценка сложности задач'!$A$18,1,0)*IF(D13='Оценка сложности задач'!$B$18,1,0)*'Оценка сложности задач'!$G$18) + (IF(C13='Оценка сложности задач'!$A$19,1,0)*IF(D13='Оценка сложности задач'!$B$19,1,0)*'Оценка сложности задач'!$G$19)+(IF(C13='Оценка сложности задач'!$A$20,1,0)*IF(D13='Оценка сложности задач'!$B$20,1,0)*'Оценка сложности задач'!$G$20)+(IF(C13='Оценка сложности задач'!$A$21,1,0)*IF(D13='Оценка сложности задач'!$B$21,1,0)*'Оценка сложности задач'!$G$21)+(IF(C13='Оценка сложности задач'!$A$22,1,0)*IF(D13='Оценка сложности задач'!$B$22,1,0)*'Оценка сложности задач'!$G$22)+(IF(C13='Оценка сложности задач'!$A$23,1,0)*IF(D13='Оценка сложности задач'!$B$23,1,0)*'Оценка сложности задач'!$G$23)+(IF(C13='Оценка сложности задач'!$A$24,1,0)*IF(D13='Оценка сложности задач'!$B$24,1,0)*'Оценка сложности задач'!$G$24)+(IF(C13='Оценка сложности задач'!$A$25,1,0)*IF(D13='Оценка сложности задач'!$B$25,1,0)*'Оценка сложности задач'!$G$25)+(IF(C13='Оценка сложности задач'!$A$26,1,0)*IF(D13='Оценка сложности задач'!$B$26,1,0)*'Оценка сложности задач'!$G$26)+(IF(C13='Оценка сложности задач'!$A$27,1,0)*IF(D13='Оценка сложности задач'!$B$27,1,0)*'Оценка сложности задач'!$G$27)+(IF(C13='Оценка сложности задач'!$A$28,1,0)*IF(D13='Оценка сложности задач'!$B$28,1,0)*'Оценка сложности задач'!$G$28)+(IF(C13='Оценка сложности задач'!$A$29,1,0)*IF(D13='Оценка сложности задач'!$B$29,1,0)*'Оценка сложности задач'!$G$29)+(IF(C13='Оценка сложности задач'!$A$30,1,0)*IF(D13='Оценка сложности задач'!$B$30,1,0)*'Оценка сложности задач'!$G$30)+(IF(C13='Оценка сложности задач'!$A$31,1,0)*IF(D13='Оценка сложности задач'!$B$31,1,0)*'Оценка сложности задач'!$G$31)+(IF(C13='Оценка сложности задач'!$A$32,1,0)*IF(D13='Оценка сложности задач'!$B$32,1,0)*'Оценка сложности задач'!$G$32)+(IF(C13='Оценка сложности задач'!$A$33,1,0)*IF(D13='Оценка сложности задач'!$B$33,1,0)*'Оценка сложности задач'!$G$33)+(IF(C13='Оценка сложности задач'!$A$34,1,0)*IF(D13='Оценка сложности задач'!$B$34,1,0)*'Оценка сложности задач'!$G$34)+(IF(C13='Оценка сложности задач'!$A$35,1,0)*IF(D13='Оценка сложности задач'!$B$35,1,0)*'Оценка сложности задач'!$G$35)+(IF(C13='Оценка сложности задач'!$A$36,1,0)*IF(D13='Оценка сложности задач'!$B$36,1,0)*'Оценка сложности задач'!$G$36)+(IF(C13='Оценка сложности задач'!$A$37,1,0)*IF(D13='Оценка сложности задач'!$B$37,1,0)*'Оценка сложности задач'!$G$37)+(IF(C13='Оценка сложности задач'!$A$38,1,0)*IF(D13='Оценка сложности задач'!$B$38,1,0)*'Оценка сложности задач'!$G$38)+(IF(C13='Оценка сложности задач'!$A$39,1,0)*IF(D13='Оценка сложности задач'!$B$39,1,0)*'Оценка сложности задач'!$G$39)+(IF(C13='Оценка сложности задач'!$A$40,1,0)*IF(D13='Оценка сложности задач'!$B$40,1,0)*'Оценка сложности задач'!$G$40)</f>
        <v>6</v>
      </c>
      <c r="F13" s="49"/>
    </row>
    <row r="14" spans="1:6" x14ac:dyDescent="0.35">
      <c r="A14" s="54" t="s">
        <v>37</v>
      </c>
      <c r="B14" s="50" t="s">
        <v>38</v>
      </c>
      <c r="C14" s="56" t="s">
        <v>26</v>
      </c>
      <c r="D14" s="56" t="s">
        <v>11</v>
      </c>
      <c r="E14" s="56">
        <f>(IF(C14='Оценка сложности задач'!$A$2,1,0)*IF(D14='Оценка сложности задач'!$B$2,1,0)*'Оценка сложности задач'!$G$2)+(IF(C14='Оценка сложности задач'!$A$3,1,0)*IF(D14='Оценка сложности задач'!$B$3,1,0)*'Оценка сложности задач'!$G$3)+(IF(C14='Оценка сложности задач'!$A$4,1,0)*IF(D14='Оценка сложности задач'!$B$4,1,0)*'Оценка сложности задач'!$G$4)+(IF(C14='Оценка сложности задач'!$A$5,1,0)*IF(D14='Оценка сложности задач'!$B$5,1,0)*'Оценка сложности задач'!$G$5)+(IF(C14='Оценка сложности задач'!$A$6,1,0)*IF(D14='Оценка сложности задач'!$B$6,1,0)*'Оценка сложности задач'!$G$6)+(IF(C14='Оценка сложности задач'!$A$7,1,0)*IF(D14='Оценка сложности задач'!$B$7,1,0)*'Оценка сложности задач'!$G$7)+(IF(C14='Оценка сложности задач'!$A$8,1,0)*IF(D14='Оценка сложности задач'!$B$8,1,0)*'Оценка сложности задач'!$G$8)+(IF(C14='Оценка сложности задач'!$A$10,1,0)*IF(D14='Оценка сложности задач'!$B$10,1,0)*'Оценка сложности задач'!$G$10)+(IF(C14='Оценка сложности задач'!$A$9,1,0)*IF(D14='Оценка сложности задач'!$B$9,1,0)*'Оценка сложности задач'!$G$9)+ (IF(C14='Оценка сложности задач'!$A$11,1,0)*IF(D14='Оценка сложности задач'!$B$11,1,0)*'Оценка сложности задач'!$G$11) + (IF(C14='Оценка сложности задач'!$A$12,1,0)*IF(D14='Оценка сложности задач'!$B$12,1,0)*'Оценка сложности задач'!$G$12) + (IF(C14='Оценка сложности задач'!$A$13,1,0)*IF(D14='Оценка сложности задач'!$B$13,1,0)*'Оценка сложности задач'!$G$13) + (IF(C14='Оценка сложности задач'!$A$14,1,0)*IF(D14='Оценка сложности задач'!$B$14,1,0)*'Оценка сложности задач'!$G$14) + (IF(C14='Оценка сложности задач'!$A$15,1,0)*IF(D14='Оценка сложности задач'!$B$15,1,0)*'Оценка сложности задач'!$G$15) + (IF(C14='Оценка сложности задач'!$A$16,1,0)*IF(D14='Оценка сложности задач'!$B$16,1,0)*'Оценка сложности задач'!$G$16) + (IF(C14='Оценка сложности задач'!$A$17,1,0)*IF(D14='Оценка сложности задач'!$B$17,1,0)*'Оценка сложности задач'!$G$17) + (IF(C14='Оценка сложности задач'!$A$18,1,0)*IF(D14='Оценка сложности задач'!$B$18,1,0)*'Оценка сложности задач'!$G$18) + (IF(C14='Оценка сложности задач'!$A$19,1,0)*IF(D14='Оценка сложности задач'!$B$19,1,0)*'Оценка сложности задач'!$G$19)+(IF(C14='Оценка сложности задач'!$A$20,1,0)*IF(D14='Оценка сложности задач'!$B$20,1,0)*'Оценка сложности задач'!$G$20)+(IF(C14='Оценка сложности задач'!$A$21,1,0)*IF(D14='Оценка сложности задач'!$B$21,1,0)*'Оценка сложности задач'!$G$21)+(IF(C14='Оценка сложности задач'!$A$22,1,0)*IF(D14='Оценка сложности задач'!$B$22,1,0)*'Оценка сложности задач'!$G$22)+(IF(C14='Оценка сложности задач'!$A$23,1,0)*IF(D14='Оценка сложности задач'!$B$23,1,0)*'Оценка сложности задач'!$G$23)+(IF(C14='Оценка сложности задач'!$A$24,1,0)*IF(D14='Оценка сложности задач'!$B$24,1,0)*'Оценка сложности задач'!$G$24)+(IF(C14='Оценка сложности задач'!$A$25,1,0)*IF(D14='Оценка сложности задач'!$B$25,1,0)*'Оценка сложности задач'!$G$25)+(IF(C14='Оценка сложности задач'!$A$26,1,0)*IF(D14='Оценка сложности задач'!$B$26,1,0)*'Оценка сложности задач'!$G$26)+(IF(C14='Оценка сложности задач'!$A$27,1,0)*IF(D14='Оценка сложности задач'!$B$27,1,0)*'Оценка сложности задач'!$G$27)+(IF(C14='Оценка сложности задач'!$A$28,1,0)*IF(D14='Оценка сложности задач'!$B$28,1,0)*'Оценка сложности задач'!$G$28)+(IF(C14='Оценка сложности задач'!$A$29,1,0)*IF(D14='Оценка сложности задач'!$B$29,1,0)*'Оценка сложности задач'!$G$29)+(IF(C14='Оценка сложности задач'!$A$30,1,0)*IF(D14='Оценка сложности задач'!$B$30,1,0)*'Оценка сложности задач'!$G$30)+(IF(C14='Оценка сложности задач'!$A$31,1,0)*IF(D14='Оценка сложности задач'!$B$31,1,0)*'Оценка сложности задач'!$G$31)+(IF(C14='Оценка сложности задач'!$A$32,1,0)*IF(D14='Оценка сложности задач'!$B$32,1,0)*'Оценка сложности задач'!$G$32)+(IF(C14='Оценка сложности задач'!$A$33,1,0)*IF(D14='Оценка сложности задач'!$B$33,1,0)*'Оценка сложности задач'!$G$33)+(IF(C14='Оценка сложности задач'!$A$34,1,0)*IF(D14='Оценка сложности задач'!$B$34,1,0)*'Оценка сложности задач'!$G$34)+(IF(C14='Оценка сложности задач'!$A$35,1,0)*IF(D14='Оценка сложности задач'!$B$35,1,0)*'Оценка сложности задач'!$G$35)+(IF(C14='Оценка сложности задач'!$A$36,1,0)*IF(D14='Оценка сложности задач'!$B$36,1,0)*'Оценка сложности задач'!$G$36)+(IF(C14='Оценка сложности задач'!$A$37,1,0)*IF(D14='Оценка сложности задач'!$B$37,1,0)*'Оценка сложности задач'!$G$37)+(IF(C14='Оценка сложности задач'!$A$38,1,0)*IF(D14='Оценка сложности задач'!$B$38,1,0)*'Оценка сложности задач'!$G$38)+(IF(C14='Оценка сложности задач'!$A$39,1,0)*IF(D14='Оценка сложности задач'!$B$39,1,0)*'Оценка сложности задач'!$G$39)+(IF(C14='Оценка сложности задач'!$A$40,1,0)*IF(D14='Оценка сложности задач'!$B$40,1,0)*'Оценка сложности задач'!$G$40)</f>
        <v>22</v>
      </c>
      <c r="F14" s="49"/>
    </row>
    <row r="15" spans="1:6" x14ac:dyDescent="0.35">
      <c r="A15" s="54" t="s">
        <v>39</v>
      </c>
      <c r="B15" s="50" t="s">
        <v>40</v>
      </c>
      <c r="C15" s="56" t="s">
        <v>14</v>
      </c>
      <c r="D15" s="56" t="s">
        <v>18</v>
      </c>
      <c r="E15" s="56">
        <f>(IF(C15='Оценка сложности задач'!$A$2,1,0)*IF(D15='Оценка сложности задач'!$B$2,1,0)*'Оценка сложности задач'!$G$2)+(IF(C15='Оценка сложности задач'!$A$3,1,0)*IF(D15='Оценка сложности задач'!$B$3,1,0)*'Оценка сложности задач'!$G$3)+(IF(C15='Оценка сложности задач'!$A$4,1,0)*IF(D15='Оценка сложности задач'!$B$4,1,0)*'Оценка сложности задач'!$G$4)+(IF(C15='Оценка сложности задач'!$A$5,1,0)*IF(D15='Оценка сложности задач'!$B$5,1,0)*'Оценка сложности задач'!$G$5)+(IF(C15='Оценка сложности задач'!$A$6,1,0)*IF(D15='Оценка сложности задач'!$B$6,1,0)*'Оценка сложности задач'!$G$6)+(IF(C15='Оценка сложности задач'!$A$7,1,0)*IF(D15='Оценка сложности задач'!$B$7,1,0)*'Оценка сложности задач'!$G$7)+(IF(C15='Оценка сложности задач'!$A$8,1,0)*IF(D15='Оценка сложности задач'!$B$8,1,0)*'Оценка сложности задач'!$G$8)+(IF(C15='Оценка сложности задач'!$A$10,1,0)*IF(D15='Оценка сложности задач'!$B$10,1,0)*'Оценка сложности задач'!$G$10)+(IF(C15='Оценка сложности задач'!$A$9,1,0)*IF(D15='Оценка сложности задач'!$B$9,1,0)*'Оценка сложности задач'!$G$9)+ (IF(C15='Оценка сложности задач'!$A$11,1,0)*IF(D15='Оценка сложности задач'!$B$11,1,0)*'Оценка сложности задач'!$G$11) + (IF(C15='Оценка сложности задач'!$A$12,1,0)*IF(D15='Оценка сложности задач'!$B$12,1,0)*'Оценка сложности задач'!$G$12) + (IF(C15='Оценка сложности задач'!$A$13,1,0)*IF(D15='Оценка сложности задач'!$B$13,1,0)*'Оценка сложности задач'!$G$13) + (IF(C15='Оценка сложности задач'!$A$14,1,0)*IF(D15='Оценка сложности задач'!$B$14,1,0)*'Оценка сложности задач'!$G$14) + (IF(C15='Оценка сложности задач'!$A$15,1,0)*IF(D15='Оценка сложности задач'!$B$15,1,0)*'Оценка сложности задач'!$G$15) + (IF(C15='Оценка сложности задач'!$A$16,1,0)*IF(D15='Оценка сложности задач'!$B$16,1,0)*'Оценка сложности задач'!$G$16) + (IF(C15='Оценка сложности задач'!$A$17,1,0)*IF(D15='Оценка сложности задач'!$B$17,1,0)*'Оценка сложности задач'!$G$17) + (IF(C15='Оценка сложности задач'!$A$18,1,0)*IF(D15='Оценка сложности задач'!$B$18,1,0)*'Оценка сложности задач'!$G$18) + (IF(C15='Оценка сложности задач'!$A$19,1,0)*IF(D15='Оценка сложности задач'!$B$19,1,0)*'Оценка сложности задач'!$G$19)+(IF(C15='Оценка сложности задач'!$A$20,1,0)*IF(D15='Оценка сложности задач'!$B$20,1,0)*'Оценка сложности задач'!$G$20)+(IF(C15='Оценка сложности задач'!$A$21,1,0)*IF(D15='Оценка сложности задач'!$B$21,1,0)*'Оценка сложности задач'!$G$21)+(IF(C15='Оценка сложности задач'!$A$22,1,0)*IF(D15='Оценка сложности задач'!$B$22,1,0)*'Оценка сложности задач'!$G$22)+(IF(C15='Оценка сложности задач'!$A$23,1,0)*IF(D15='Оценка сложности задач'!$B$23,1,0)*'Оценка сложности задач'!$G$23)+(IF(C15='Оценка сложности задач'!$A$24,1,0)*IF(D15='Оценка сложности задач'!$B$24,1,0)*'Оценка сложности задач'!$G$24)+(IF(C15='Оценка сложности задач'!$A$25,1,0)*IF(D15='Оценка сложности задач'!$B$25,1,0)*'Оценка сложности задач'!$G$25)+(IF(C15='Оценка сложности задач'!$A$26,1,0)*IF(D15='Оценка сложности задач'!$B$26,1,0)*'Оценка сложности задач'!$G$26)+(IF(C15='Оценка сложности задач'!$A$27,1,0)*IF(D15='Оценка сложности задач'!$B$27,1,0)*'Оценка сложности задач'!$G$27)+(IF(C15='Оценка сложности задач'!$A$28,1,0)*IF(D15='Оценка сложности задач'!$B$28,1,0)*'Оценка сложности задач'!$G$28)+(IF(C15='Оценка сложности задач'!$A$29,1,0)*IF(D15='Оценка сложности задач'!$B$29,1,0)*'Оценка сложности задач'!$G$29)+(IF(C15='Оценка сложности задач'!$A$30,1,0)*IF(D15='Оценка сложности задач'!$B$30,1,0)*'Оценка сложности задач'!$G$30)+(IF(C15='Оценка сложности задач'!$A$31,1,0)*IF(D15='Оценка сложности задач'!$B$31,1,0)*'Оценка сложности задач'!$G$31)+(IF(C15='Оценка сложности задач'!$A$32,1,0)*IF(D15='Оценка сложности задач'!$B$32,1,0)*'Оценка сложности задач'!$G$32)+(IF(C15='Оценка сложности задач'!$A$33,1,0)*IF(D15='Оценка сложности задач'!$B$33,1,0)*'Оценка сложности задач'!$G$33)+(IF(C15='Оценка сложности задач'!$A$34,1,0)*IF(D15='Оценка сложности задач'!$B$34,1,0)*'Оценка сложности задач'!$G$34)+(IF(C15='Оценка сложности задач'!$A$35,1,0)*IF(D15='Оценка сложности задач'!$B$35,1,0)*'Оценка сложности задач'!$G$35)+(IF(C15='Оценка сложности задач'!$A$36,1,0)*IF(D15='Оценка сложности задач'!$B$36,1,0)*'Оценка сложности задач'!$G$36)+(IF(C15='Оценка сложности задач'!$A$37,1,0)*IF(D15='Оценка сложности задач'!$B$37,1,0)*'Оценка сложности задач'!$G$37)+(IF(C15='Оценка сложности задач'!$A$38,1,0)*IF(D15='Оценка сложности задач'!$B$38,1,0)*'Оценка сложности задач'!$G$38)+(IF(C15='Оценка сложности задач'!$A$39,1,0)*IF(D15='Оценка сложности задач'!$B$39,1,0)*'Оценка сложности задач'!$G$39)+(IF(C15='Оценка сложности задач'!$A$40,1,0)*IF(D15='Оценка сложности задач'!$B$40,1,0)*'Оценка сложности задач'!$G$40)</f>
        <v>16</v>
      </c>
      <c r="F15" s="49"/>
    </row>
    <row r="16" spans="1:6" x14ac:dyDescent="0.35">
      <c r="A16" s="54" t="s">
        <v>41</v>
      </c>
      <c r="B16" s="50"/>
      <c r="C16" s="56"/>
      <c r="D16" s="56"/>
      <c r="E16" s="56">
        <f>(IF(C16='Оценка сложности задач'!$A$2,1,0)*IF(D16='Оценка сложности задач'!$B$2,1,0)*'Оценка сложности задач'!$G$2)+(IF(C16='Оценка сложности задач'!$A$3,1,0)*IF(D16='Оценка сложности задач'!$B$3,1,0)*'Оценка сложности задач'!$G$3)+(IF(C16='Оценка сложности задач'!$A$4,1,0)*IF(D16='Оценка сложности задач'!$B$4,1,0)*'Оценка сложности задач'!$G$4)+(IF(C16='Оценка сложности задач'!$A$5,1,0)*IF(D16='Оценка сложности задач'!$B$5,1,0)*'Оценка сложности задач'!$G$5)+(IF(C16='Оценка сложности задач'!$A$6,1,0)*IF(D16='Оценка сложности задач'!$B$6,1,0)*'Оценка сложности задач'!$G$6)+(IF(C16='Оценка сложности задач'!$A$7,1,0)*IF(D16='Оценка сложности задач'!$B$7,1,0)*'Оценка сложности задач'!$G$7)+(IF(C16='Оценка сложности задач'!$A$8,1,0)*IF(D16='Оценка сложности задач'!$B$8,1,0)*'Оценка сложности задач'!$G$8)+(IF(C16='Оценка сложности задач'!$A$10,1,0)*IF(D16='Оценка сложности задач'!$B$10,1,0)*'Оценка сложности задач'!$G$10)+(IF(C16='Оценка сложности задач'!$A$9,1,0)*IF(D16='Оценка сложности задач'!$B$9,1,0)*'Оценка сложности задач'!$G$9)+ (IF(C16='Оценка сложности задач'!$A$11,1,0)*IF(D16='Оценка сложности задач'!$B$11,1,0)*'Оценка сложности задач'!$G$11) + (IF(C16='Оценка сложности задач'!$A$12,1,0)*IF(D16='Оценка сложности задач'!$B$12,1,0)*'Оценка сложности задач'!$G$12) + (IF(C16='Оценка сложности задач'!$A$13,1,0)*IF(D16='Оценка сложности задач'!$B$13,1,0)*'Оценка сложности задач'!$G$13) + (IF(C16='Оценка сложности задач'!$A$14,1,0)*IF(D16='Оценка сложности задач'!$B$14,1,0)*'Оценка сложности задач'!$G$14) + (IF(C16='Оценка сложности задач'!$A$15,1,0)*IF(D16='Оценка сложности задач'!$B$15,1,0)*'Оценка сложности задач'!$G$15) + (IF(C16='Оценка сложности задач'!$A$16,1,0)*IF(D16='Оценка сложности задач'!$B$16,1,0)*'Оценка сложности задач'!$G$16) + (IF(C16='Оценка сложности задач'!$A$17,1,0)*IF(D16='Оценка сложности задач'!$B$17,1,0)*'Оценка сложности задач'!$G$17) + (IF(C16='Оценка сложности задач'!$A$18,1,0)*IF(D16='Оценка сложности задач'!$B$18,1,0)*'Оценка сложности задач'!$G$18) + (IF(C16='Оценка сложности задач'!$A$19,1,0)*IF(D16='Оценка сложности задач'!$B$19,1,0)*'Оценка сложности задач'!$G$19)+(IF(C16='Оценка сложности задач'!$A$20,1,0)*IF(D16='Оценка сложности задач'!$B$20,1,0)*'Оценка сложности задач'!$G$20)+(IF(C16='Оценка сложности задач'!$A$21,1,0)*IF(D16='Оценка сложности задач'!$B$21,1,0)*'Оценка сложности задач'!$G$21)+(IF(C16='Оценка сложности задач'!$A$22,1,0)*IF(D16='Оценка сложности задач'!$B$22,1,0)*'Оценка сложности задач'!$G$22)+(IF(C16='Оценка сложности задач'!$A$23,1,0)*IF(D16='Оценка сложности задач'!$B$23,1,0)*'Оценка сложности задач'!$G$23)+(IF(C16='Оценка сложности задач'!$A$24,1,0)*IF(D16='Оценка сложности задач'!$B$24,1,0)*'Оценка сложности задач'!$G$24)+(IF(C16='Оценка сложности задач'!$A$25,1,0)*IF(D16='Оценка сложности задач'!$B$25,1,0)*'Оценка сложности задач'!$G$25)+(IF(C16='Оценка сложности задач'!$A$26,1,0)*IF(D16='Оценка сложности задач'!$B$26,1,0)*'Оценка сложности задач'!$G$26)+(IF(C16='Оценка сложности задач'!$A$27,1,0)*IF(D16='Оценка сложности задач'!$B$27,1,0)*'Оценка сложности задач'!$G$27)+(IF(C16='Оценка сложности задач'!$A$28,1,0)*IF(D16='Оценка сложности задач'!$B$28,1,0)*'Оценка сложности задач'!$G$28)+(IF(C16='Оценка сложности задач'!$A$29,1,0)*IF(D16='Оценка сложности задач'!$B$29,1,0)*'Оценка сложности задач'!$G$29)+(IF(C16='Оценка сложности задач'!$A$30,1,0)*IF(D16='Оценка сложности задач'!$B$30,1,0)*'Оценка сложности задач'!$G$30)+(IF(C16='Оценка сложности задач'!$A$31,1,0)*IF(D16='Оценка сложности задач'!$B$31,1,0)*'Оценка сложности задач'!$G$31)+(IF(C16='Оценка сложности задач'!$A$32,1,0)*IF(D16='Оценка сложности задач'!$B$32,1,0)*'Оценка сложности задач'!$G$32)+(IF(C16='Оценка сложности задач'!$A$33,1,0)*IF(D16='Оценка сложности задач'!$B$33,1,0)*'Оценка сложности задач'!$G$33)+(IF(C16='Оценка сложности задач'!$A$34,1,0)*IF(D16='Оценка сложности задач'!$B$34,1,0)*'Оценка сложности задач'!$G$34)+(IF(C16='Оценка сложности задач'!$A$35,1,0)*IF(D16='Оценка сложности задач'!$B$35,1,0)*'Оценка сложности задач'!$G$35)+(IF(C16='Оценка сложности задач'!$A$36,1,0)*IF(D16='Оценка сложности задач'!$B$36,1,0)*'Оценка сложности задач'!$G$36)+(IF(C16='Оценка сложности задач'!$A$37,1,0)*IF(D16='Оценка сложности задач'!$B$37,1,0)*'Оценка сложности задач'!$G$37)+(IF(C16='Оценка сложности задач'!$A$38,1,0)*IF(D16='Оценка сложности задач'!$B$38,1,0)*'Оценка сложности задач'!$G$38)+(IF(C16='Оценка сложности задач'!$A$39,1,0)*IF(D16='Оценка сложности задач'!$B$39,1,0)*'Оценка сложности задач'!$G$39)+(IF(C16='Оценка сложности задач'!$A$40,1,0)*IF(D16='Оценка сложности задач'!$B$40,1,0)*'Оценка сложности задач'!$G$40)</f>
        <v>0</v>
      </c>
      <c r="F16" s="49"/>
    </row>
    <row r="17" spans="1:6" x14ac:dyDescent="0.35">
      <c r="A17" s="54" t="s">
        <v>42</v>
      </c>
      <c r="B17" s="50"/>
      <c r="C17" s="56"/>
      <c r="D17" s="56"/>
      <c r="E17" s="56">
        <f>(IF(C17='Оценка сложности задач'!$A$2,1,0)*IF(D17='Оценка сложности задач'!$B$2,1,0)*'Оценка сложности задач'!$G$2)+(IF(C17='Оценка сложности задач'!$A$3,1,0)*IF(D17='Оценка сложности задач'!$B$3,1,0)*'Оценка сложности задач'!$G$3)+(IF(C17='Оценка сложности задач'!$A$4,1,0)*IF(D17='Оценка сложности задач'!$B$4,1,0)*'Оценка сложности задач'!$G$4)+(IF(C17='Оценка сложности задач'!$A$5,1,0)*IF(D17='Оценка сложности задач'!$B$5,1,0)*'Оценка сложности задач'!$G$5)+(IF(C17='Оценка сложности задач'!$A$6,1,0)*IF(D17='Оценка сложности задач'!$B$6,1,0)*'Оценка сложности задач'!$G$6)+(IF(C17='Оценка сложности задач'!$A$7,1,0)*IF(D17='Оценка сложности задач'!$B$7,1,0)*'Оценка сложности задач'!$G$7)+(IF(C17='Оценка сложности задач'!$A$8,1,0)*IF(D17='Оценка сложности задач'!$B$8,1,0)*'Оценка сложности задач'!$G$8)+(IF(C17='Оценка сложности задач'!$A$10,1,0)*IF(D17='Оценка сложности задач'!$B$10,1,0)*'Оценка сложности задач'!$G$10)+(IF(C17='Оценка сложности задач'!$A$9,1,0)*IF(D17='Оценка сложности задач'!$B$9,1,0)*'Оценка сложности задач'!$G$9)+ (IF(C17='Оценка сложности задач'!$A$11,1,0)*IF(D17='Оценка сложности задач'!$B$11,1,0)*'Оценка сложности задач'!$G$11) + (IF(C17='Оценка сложности задач'!$A$12,1,0)*IF(D17='Оценка сложности задач'!$B$12,1,0)*'Оценка сложности задач'!$G$12) + (IF(C17='Оценка сложности задач'!$A$13,1,0)*IF(D17='Оценка сложности задач'!$B$13,1,0)*'Оценка сложности задач'!$G$13) + (IF(C17='Оценка сложности задач'!$A$14,1,0)*IF(D17='Оценка сложности задач'!$B$14,1,0)*'Оценка сложности задач'!$G$14) + (IF(C17='Оценка сложности задач'!$A$15,1,0)*IF(D17='Оценка сложности задач'!$B$15,1,0)*'Оценка сложности задач'!$G$15) + (IF(C17='Оценка сложности задач'!$A$16,1,0)*IF(D17='Оценка сложности задач'!$B$16,1,0)*'Оценка сложности задач'!$G$16) + (IF(C17='Оценка сложности задач'!$A$17,1,0)*IF(D17='Оценка сложности задач'!$B$17,1,0)*'Оценка сложности задач'!$G$17) + (IF(C17='Оценка сложности задач'!$A$18,1,0)*IF(D17='Оценка сложности задач'!$B$18,1,0)*'Оценка сложности задач'!$G$18) + (IF(C17='Оценка сложности задач'!$A$19,1,0)*IF(D17='Оценка сложности задач'!$B$19,1,0)*'Оценка сложности задач'!$G$19)+(IF(C17='Оценка сложности задач'!$A$20,1,0)*IF(D17='Оценка сложности задач'!$B$20,1,0)*'Оценка сложности задач'!$G$20)+(IF(C17='Оценка сложности задач'!$A$21,1,0)*IF(D17='Оценка сложности задач'!$B$21,1,0)*'Оценка сложности задач'!$G$21)+(IF(C17='Оценка сложности задач'!$A$22,1,0)*IF(D17='Оценка сложности задач'!$B$22,1,0)*'Оценка сложности задач'!$G$22)+(IF(C17='Оценка сложности задач'!$A$23,1,0)*IF(D17='Оценка сложности задач'!$B$23,1,0)*'Оценка сложности задач'!$G$23)+(IF(C17='Оценка сложности задач'!$A$24,1,0)*IF(D17='Оценка сложности задач'!$B$24,1,0)*'Оценка сложности задач'!$G$24)+(IF(C17='Оценка сложности задач'!$A$25,1,0)*IF(D17='Оценка сложности задач'!$B$25,1,0)*'Оценка сложности задач'!$G$25)+(IF(C17='Оценка сложности задач'!$A$26,1,0)*IF(D17='Оценка сложности задач'!$B$26,1,0)*'Оценка сложности задач'!$G$26)+(IF(C17='Оценка сложности задач'!$A$27,1,0)*IF(D17='Оценка сложности задач'!$B$27,1,0)*'Оценка сложности задач'!$G$27)+(IF(C17='Оценка сложности задач'!$A$28,1,0)*IF(D17='Оценка сложности задач'!$B$28,1,0)*'Оценка сложности задач'!$G$28)+(IF(C17='Оценка сложности задач'!$A$29,1,0)*IF(D17='Оценка сложности задач'!$B$29,1,0)*'Оценка сложности задач'!$G$29)+(IF(C17='Оценка сложности задач'!$A$30,1,0)*IF(D17='Оценка сложности задач'!$B$30,1,0)*'Оценка сложности задач'!$G$30)+(IF(C17='Оценка сложности задач'!$A$31,1,0)*IF(D17='Оценка сложности задач'!$B$31,1,0)*'Оценка сложности задач'!$G$31)+(IF(C17='Оценка сложности задач'!$A$32,1,0)*IF(D17='Оценка сложности задач'!$B$32,1,0)*'Оценка сложности задач'!$G$32)+(IF(C17='Оценка сложности задач'!$A$33,1,0)*IF(D17='Оценка сложности задач'!$B$33,1,0)*'Оценка сложности задач'!$G$33)+(IF(C17='Оценка сложности задач'!$A$34,1,0)*IF(D17='Оценка сложности задач'!$B$34,1,0)*'Оценка сложности задач'!$G$34)+(IF(C17='Оценка сложности задач'!$A$35,1,0)*IF(D17='Оценка сложности задач'!$B$35,1,0)*'Оценка сложности задач'!$G$35)+(IF(C17='Оценка сложности задач'!$A$36,1,0)*IF(D17='Оценка сложности задач'!$B$36,1,0)*'Оценка сложности задач'!$G$36)+(IF(C17='Оценка сложности задач'!$A$37,1,0)*IF(D17='Оценка сложности задач'!$B$37,1,0)*'Оценка сложности задач'!$G$37)+(IF(C17='Оценка сложности задач'!$A$38,1,0)*IF(D17='Оценка сложности задач'!$B$38,1,0)*'Оценка сложности задач'!$G$38)+(IF(C17='Оценка сложности задач'!$A$39,1,0)*IF(D17='Оценка сложности задач'!$B$39,1,0)*'Оценка сложности задач'!$G$39)+(IF(C17='Оценка сложности задач'!$A$40,1,0)*IF(D17='Оценка сложности задач'!$B$40,1,0)*'Оценка сложности задач'!$G$40)</f>
        <v>0</v>
      </c>
      <c r="F17" s="49"/>
    </row>
    <row r="18" spans="1:6" x14ac:dyDescent="0.35">
      <c r="A18" s="54" t="s">
        <v>43</v>
      </c>
      <c r="B18" s="50"/>
      <c r="C18" s="56"/>
      <c r="D18" s="56"/>
      <c r="E18" s="56">
        <f>(IF(C18='Оценка сложности задач'!$A$2,1,0)*IF(D18='Оценка сложности задач'!$B$2,1,0)*'Оценка сложности задач'!$G$2)+(IF(C18='Оценка сложности задач'!$A$3,1,0)*IF(D18='Оценка сложности задач'!$B$3,1,0)*'Оценка сложности задач'!$G$3)+(IF(C18='Оценка сложности задач'!$A$4,1,0)*IF(D18='Оценка сложности задач'!$B$4,1,0)*'Оценка сложности задач'!$G$4)+(IF(C18='Оценка сложности задач'!$A$5,1,0)*IF(D18='Оценка сложности задач'!$B$5,1,0)*'Оценка сложности задач'!$G$5)+(IF(C18='Оценка сложности задач'!$A$6,1,0)*IF(D18='Оценка сложности задач'!$B$6,1,0)*'Оценка сложности задач'!$G$6)+(IF(C18='Оценка сложности задач'!$A$7,1,0)*IF(D18='Оценка сложности задач'!$B$7,1,0)*'Оценка сложности задач'!$G$7)+(IF(C18='Оценка сложности задач'!$A$8,1,0)*IF(D18='Оценка сложности задач'!$B$8,1,0)*'Оценка сложности задач'!$G$8)+(IF(C18='Оценка сложности задач'!$A$10,1,0)*IF(D18='Оценка сложности задач'!$B$10,1,0)*'Оценка сложности задач'!$G$10)+(IF(C18='Оценка сложности задач'!$A$9,1,0)*IF(D18='Оценка сложности задач'!$B$9,1,0)*'Оценка сложности задач'!$G$9)+ (IF(C18='Оценка сложности задач'!$A$11,1,0)*IF(D18='Оценка сложности задач'!$B$11,1,0)*'Оценка сложности задач'!$G$11) + (IF(C18='Оценка сложности задач'!$A$12,1,0)*IF(D18='Оценка сложности задач'!$B$12,1,0)*'Оценка сложности задач'!$G$12) + (IF(C18='Оценка сложности задач'!$A$13,1,0)*IF(D18='Оценка сложности задач'!$B$13,1,0)*'Оценка сложности задач'!$G$13) + (IF(C18='Оценка сложности задач'!$A$14,1,0)*IF(D18='Оценка сложности задач'!$B$14,1,0)*'Оценка сложности задач'!$G$14) + (IF(C18='Оценка сложности задач'!$A$15,1,0)*IF(D18='Оценка сложности задач'!$B$15,1,0)*'Оценка сложности задач'!$G$15) + (IF(C18='Оценка сложности задач'!$A$16,1,0)*IF(D18='Оценка сложности задач'!$B$16,1,0)*'Оценка сложности задач'!$G$16) + (IF(C18='Оценка сложности задач'!$A$17,1,0)*IF(D18='Оценка сложности задач'!$B$17,1,0)*'Оценка сложности задач'!$G$17) + (IF(C18='Оценка сложности задач'!$A$18,1,0)*IF(D18='Оценка сложности задач'!$B$18,1,0)*'Оценка сложности задач'!$G$18) + (IF(C18='Оценка сложности задач'!$A$19,1,0)*IF(D18='Оценка сложности задач'!$B$19,1,0)*'Оценка сложности задач'!$G$19)+(IF(C18='Оценка сложности задач'!$A$20,1,0)*IF(D18='Оценка сложности задач'!$B$20,1,0)*'Оценка сложности задач'!$G$20)+(IF(C18='Оценка сложности задач'!$A$21,1,0)*IF(D18='Оценка сложности задач'!$B$21,1,0)*'Оценка сложности задач'!$G$21)+(IF(C18='Оценка сложности задач'!$A$22,1,0)*IF(D18='Оценка сложности задач'!$B$22,1,0)*'Оценка сложности задач'!$G$22)+(IF(C18='Оценка сложности задач'!$A$23,1,0)*IF(D18='Оценка сложности задач'!$B$23,1,0)*'Оценка сложности задач'!$G$23)+(IF(C18='Оценка сложности задач'!$A$24,1,0)*IF(D18='Оценка сложности задач'!$B$24,1,0)*'Оценка сложности задач'!$G$24)+(IF(C18='Оценка сложности задач'!$A$25,1,0)*IF(D18='Оценка сложности задач'!$B$25,1,0)*'Оценка сложности задач'!$G$25)+(IF(C18='Оценка сложности задач'!$A$26,1,0)*IF(D18='Оценка сложности задач'!$B$26,1,0)*'Оценка сложности задач'!$G$26)+(IF(C18='Оценка сложности задач'!$A$27,1,0)*IF(D18='Оценка сложности задач'!$B$27,1,0)*'Оценка сложности задач'!$G$27)+(IF(C18='Оценка сложности задач'!$A$28,1,0)*IF(D18='Оценка сложности задач'!$B$28,1,0)*'Оценка сложности задач'!$G$28)+(IF(C18='Оценка сложности задач'!$A$29,1,0)*IF(D18='Оценка сложности задач'!$B$29,1,0)*'Оценка сложности задач'!$G$29)+(IF(C18='Оценка сложности задач'!$A$30,1,0)*IF(D18='Оценка сложности задач'!$B$30,1,0)*'Оценка сложности задач'!$G$30)+(IF(C18='Оценка сложности задач'!$A$31,1,0)*IF(D18='Оценка сложности задач'!$B$31,1,0)*'Оценка сложности задач'!$G$31)+(IF(C18='Оценка сложности задач'!$A$32,1,0)*IF(D18='Оценка сложности задач'!$B$32,1,0)*'Оценка сложности задач'!$G$32)+(IF(C18='Оценка сложности задач'!$A$33,1,0)*IF(D18='Оценка сложности задач'!$B$33,1,0)*'Оценка сложности задач'!$G$33)+(IF(C18='Оценка сложности задач'!$A$34,1,0)*IF(D18='Оценка сложности задач'!$B$34,1,0)*'Оценка сложности задач'!$G$34)+(IF(C18='Оценка сложности задач'!$A$35,1,0)*IF(D18='Оценка сложности задач'!$B$35,1,0)*'Оценка сложности задач'!$G$35)+(IF(C18='Оценка сложности задач'!$A$36,1,0)*IF(D18='Оценка сложности задач'!$B$36,1,0)*'Оценка сложности задач'!$G$36)+(IF(C18='Оценка сложности задач'!$A$37,1,0)*IF(D18='Оценка сложности задач'!$B$37,1,0)*'Оценка сложности задач'!$G$37)+(IF(C18='Оценка сложности задач'!$A$38,1,0)*IF(D18='Оценка сложности задач'!$B$38,1,0)*'Оценка сложности задач'!$G$38)+(IF(C18='Оценка сложности задач'!$A$39,1,0)*IF(D18='Оценка сложности задач'!$B$39,1,0)*'Оценка сложности задач'!$G$39)+(IF(C18='Оценка сложности задач'!$A$40,1,0)*IF(D18='Оценка сложности задач'!$B$40,1,0)*'Оценка сложности задач'!$G$40)</f>
        <v>0</v>
      </c>
      <c r="F18" s="49"/>
    </row>
    <row r="19" spans="1:6" x14ac:dyDescent="0.35">
      <c r="A19" s="54" t="s">
        <v>44</v>
      </c>
      <c r="B19" s="50"/>
      <c r="C19" s="56"/>
      <c r="D19" s="56"/>
      <c r="E19" s="56">
        <f>(IF(C19='Оценка сложности задач'!$A$2,1,0)*IF(D19='Оценка сложности задач'!$B$2,1,0)*'Оценка сложности задач'!$G$2)+(IF(C19='Оценка сложности задач'!$A$3,1,0)*IF(D19='Оценка сложности задач'!$B$3,1,0)*'Оценка сложности задач'!$G$3)+(IF(C19='Оценка сложности задач'!$A$4,1,0)*IF(D19='Оценка сложности задач'!$B$4,1,0)*'Оценка сложности задач'!$G$4)+(IF(C19='Оценка сложности задач'!$A$5,1,0)*IF(D19='Оценка сложности задач'!$B$5,1,0)*'Оценка сложности задач'!$G$5)+(IF(C19='Оценка сложности задач'!$A$6,1,0)*IF(D19='Оценка сложности задач'!$B$6,1,0)*'Оценка сложности задач'!$G$6)+(IF(C19='Оценка сложности задач'!$A$7,1,0)*IF(D19='Оценка сложности задач'!$B$7,1,0)*'Оценка сложности задач'!$G$7)+(IF(C19='Оценка сложности задач'!$A$8,1,0)*IF(D19='Оценка сложности задач'!$B$8,1,0)*'Оценка сложности задач'!$G$8)+(IF(C19='Оценка сложности задач'!$A$10,1,0)*IF(D19='Оценка сложности задач'!$B$10,1,0)*'Оценка сложности задач'!$G$10)+(IF(C19='Оценка сложности задач'!$A$9,1,0)*IF(D19='Оценка сложности задач'!$B$9,1,0)*'Оценка сложности задач'!$G$9)+ (IF(C19='Оценка сложности задач'!$A$11,1,0)*IF(D19='Оценка сложности задач'!$B$11,1,0)*'Оценка сложности задач'!$G$11) + (IF(C19='Оценка сложности задач'!$A$12,1,0)*IF(D19='Оценка сложности задач'!$B$12,1,0)*'Оценка сложности задач'!$G$12) + (IF(C19='Оценка сложности задач'!$A$13,1,0)*IF(D19='Оценка сложности задач'!$B$13,1,0)*'Оценка сложности задач'!$G$13) + (IF(C19='Оценка сложности задач'!$A$14,1,0)*IF(D19='Оценка сложности задач'!$B$14,1,0)*'Оценка сложности задач'!$G$14) + (IF(C19='Оценка сложности задач'!$A$15,1,0)*IF(D19='Оценка сложности задач'!$B$15,1,0)*'Оценка сложности задач'!$G$15) + (IF(C19='Оценка сложности задач'!$A$16,1,0)*IF(D19='Оценка сложности задач'!$B$16,1,0)*'Оценка сложности задач'!$G$16) + (IF(C19='Оценка сложности задач'!$A$17,1,0)*IF(D19='Оценка сложности задач'!$B$17,1,0)*'Оценка сложности задач'!$G$17) + (IF(C19='Оценка сложности задач'!$A$18,1,0)*IF(D19='Оценка сложности задач'!$B$18,1,0)*'Оценка сложности задач'!$G$18) + (IF(C19='Оценка сложности задач'!$A$19,1,0)*IF(D19='Оценка сложности задач'!$B$19,1,0)*'Оценка сложности задач'!$G$19)+(IF(C19='Оценка сложности задач'!$A$20,1,0)*IF(D19='Оценка сложности задач'!$B$20,1,0)*'Оценка сложности задач'!$G$20)+(IF(C19='Оценка сложности задач'!$A$21,1,0)*IF(D19='Оценка сложности задач'!$B$21,1,0)*'Оценка сложности задач'!$G$21)+(IF(C19='Оценка сложности задач'!$A$22,1,0)*IF(D19='Оценка сложности задач'!$B$22,1,0)*'Оценка сложности задач'!$G$22)+(IF(C19='Оценка сложности задач'!$A$23,1,0)*IF(D19='Оценка сложности задач'!$B$23,1,0)*'Оценка сложности задач'!$G$23)+(IF(C19='Оценка сложности задач'!$A$24,1,0)*IF(D19='Оценка сложности задач'!$B$24,1,0)*'Оценка сложности задач'!$G$24)+(IF(C19='Оценка сложности задач'!$A$25,1,0)*IF(D19='Оценка сложности задач'!$B$25,1,0)*'Оценка сложности задач'!$G$25)+(IF(C19='Оценка сложности задач'!$A$26,1,0)*IF(D19='Оценка сложности задач'!$B$26,1,0)*'Оценка сложности задач'!$G$26)+(IF(C19='Оценка сложности задач'!$A$27,1,0)*IF(D19='Оценка сложности задач'!$B$27,1,0)*'Оценка сложности задач'!$G$27)+(IF(C19='Оценка сложности задач'!$A$28,1,0)*IF(D19='Оценка сложности задач'!$B$28,1,0)*'Оценка сложности задач'!$G$28)+(IF(C19='Оценка сложности задач'!$A$29,1,0)*IF(D19='Оценка сложности задач'!$B$29,1,0)*'Оценка сложности задач'!$G$29)+(IF(C19='Оценка сложности задач'!$A$30,1,0)*IF(D19='Оценка сложности задач'!$B$30,1,0)*'Оценка сложности задач'!$G$30)+(IF(C19='Оценка сложности задач'!$A$31,1,0)*IF(D19='Оценка сложности задач'!$B$31,1,0)*'Оценка сложности задач'!$G$31)+(IF(C19='Оценка сложности задач'!$A$32,1,0)*IF(D19='Оценка сложности задач'!$B$32,1,0)*'Оценка сложности задач'!$G$32)+(IF(C19='Оценка сложности задач'!$A$33,1,0)*IF(D19='Оценка сложности задач'!$B$33,1,0)*'Оценка сложности задач'!$G$33)+(IF(C19='Оценка сложности задач'!$A$34,1,0)*IF(D19='Оценка сложности задач'!$B$34,1,0)*'Оценка сложности задач'!$G$34)+(IF(C19='Оценка сложности задач'!$A$35,1,0)*IF(D19='Оценка сложности задач'!$B$35,1,0)*'Оценка сложности задач'!$G$35)+(IF(C19='Оценка сложности задач'!$A$36,1,0)*IF(D19='Оценка сложности задач'!$B$36,1,0)*'Оценка сложности задач'!$G$36)+(IF(C19='Оценка сложности задач'!$A$37,1,0)*IF(D19='Оценка сложности задач'!$B$37,1,0)*'Оценка сложности задач'!$G$37)+(IF(C19='Оценка сложности задач'!$A$38,1,0)*IF(D19='Оценка сложности задач'!$B$38,1,0)*'Оценка сложности задач'!$G$38)+(IF(C19='Оценка сложности задач'!$A$39,1,0)*IF(D19='Оценка сложности задач'!$B$39,1,0)*'Оценка сложности задач'!$G$39)+(IF(C19='Оценка сложности задач'!$A$40,1,0)*IF(D19='Оценка сложности задач'!$B$40,1,0)*'Оценка сложности задач'!$G$40)</f>
        <v>0</v>
      </c>
      <c r="F19" s="49"/>
    </row>
    <row r="20" spans="1:6" x14ac:dyDescent="0.35">
      <c r="A20" s="54" t="s">
        <v>45</v>
      </c>
      <c r="B20" s="50"/>
      <c r="C20" s="56"/>
      <c r="D20" s="56"/>
      <c r="E20" s="56">
        <f>(IF(C20='Оценка сложности задач'!$A$2,1,0)*IF(D20='Оценка сложности задач'!$B$2,1,0)*'Оценка сложности задач'!$G$2)+(IF(C20='Оценка сложности задач'!$A$3,1,0)*IF(D20='Оценка сложности задач'!$B$3,1,0)*'Оценка сложности задач'!$G$3)+(IF(C20='Оценка сложности задач'!$A$4,1,0)*IF(D20='Оценка сложности задач'!$B$4,1,0)*'Оценка сложности задач'!$G$4)+(IF(C20='Оценка сложности задач'!$A$5,1,0)*IF(D20='Оценка сложности задач'!$B$5,1,0)*'Оценка сложности задач'!$G$5)+(IF(C20='Оценка сложности задач'!$A$6,1,0)*IF(D20='Оценка сложности задач'!$B$6,1,0)*'Оценка сложности задач'!$G$6)+(IF(C20='Оценка сложности задач'!$A$7,1,0)*IF(D20='Оценка сложности задач'!$B$7,1,0)*'Оценка сложности задач'!$G$7)+(IF(C20='Оценка сложности задач'!$A$8,1,0)*IF(D20='Оценка сложности задач'!$B$8,1,0)*'Оценка сложности задач'!$G$8)+(IF(C20='Оценка сложности задач'!$A$10,1,0)*IF(D20='Оценка сложности задач'!$B$10,1,0)*'Оценка сложности задач'!$G$10)+(IF(C20='Оценка сложности задач'!$A$9,1,0)*IF(D20='Оценка сложности задач'!$B$9,1,0)*'Оценка сложности задач'!$G$9)+ (IF(C20='Оценка сложности задач'!$A$11,1,0)*IF(D20='Оценка сложности задач'!$B$11,1,0)*'Оценка сложности задач'!$G$11) + (IF(C20='Оценка сложности задач'!$A$12,1,0)*IF(D20='Оценка сложности задач'!$B$12,1,0)*'Оценка сложности задач'!$G$12) + (IF(C20='Оценка сложности задач'!$A$13,1,0)*IF(D20='Оценка сложности задач'!$B$13,1,0)*'Оценка сложности задач'!$G$13) + (IF(C20='Оценка сложности задач'!$A$14,1,0)*IF(D20='Оценка сложности задач'!$B$14,1,0)*'Оценка сложности задач'!$G$14) + (IF(C20='Оценка сложности задач'!$A$15,1,0)*IF(D20='Оценка сложности задач'!$B$15,1,0)*'Оценка сложности задач'!$G$15) + (IF(C20='Оценка сложности задач'!$A$16,1,0)*IF(D20='Оценка сложности задач'!$B$16,1,0)*'Оценка сложности задач'!$G$16) + (IF(C20='Оценка сложности задач'!$A$17,1,0)*IF(D20='Оценка сложности задач'!$B$17,1,0)*'Оценка сложности задач'!$G$17) + (IF(C20='Оценка сложности задач'!$A$18,1,0)*IF(D20='Оценка сложности задач'!$B$18,1,0)*'Оценка сложности задач'!$G$18) + (IF(C20='Оценка сложности задач'!$A$19,1,0)*IF(D20='Оценка сложности задач'!$B$19,1,0)*'Оценка сложности задач'!$G$19)+(IF(C20='Оценка сложности задач'!$A$20,1,0)*IF(D20='Оценка сложности задач'!$B$20,1,0)*'Оценка сложности задач'!$G$20)+(IF(C20='Оценка сложности задач'!$A$21,1,0)*IF(D20='Оценка сложности задач'!$B$21,1,0)*'Оценка сложности задач'!$G$21)+(IF(C20='Оценка сложности задач'!$A$22,1,0)*IF(D20='Оценка сложности задач'!$B$22,1,0)*'Оценка сложности задач'!$G$22)+(IF(C20='Оценка сложности задач'!$A$23,1,0)*IF(D20='Оценка сложности задач'!$B$23,1,0)*'Оценка сложности задач'!$G$23)+(IF(C20='Оценка сложности задач'!$A$24,1,0)*IF(D20='Оценка сложности задач'!$B$24,1,0)*'Оценка сложности задач'!$G$24)+(IF(C20='Оценка сложности задач'!$A$25,1,0)*IF(D20='Оценка сложности задач'!$B$25,1,0)*'Оценка сложности задач'!$G$25)+(IF(C20='Оценка сложности задач'!$A$26,1,0)*IF(D20='Оценка сложности задач'!$B$26,1,0)*'Оценка сложности задач'!$G$26)+(IF(C20='Оценка сложности задач'!$A$27,1,0)*IF(D20='Оценка сложности задач'!$B$27,1,0)*'Оценка сложности задач'!$G$27)+(IF(C20='Оценка сложности задач'!$A$28,1,0)*IF(D20='Оценка сложности задач'!$B$28,1,0)*'Оценка сложности задач'!$G$28)+(IF(C20='Оценка сложности задач'!$A$29,1,0)*IF(D20='Оценка сложности задач'!$B$29,1,0)*'Оценка сложности задач'!$G$29)+(IF(C20='Оценка сложности задач'!$A$30,1,0)*IF(D20='Оценка сложности задач'!$B$30,1,0)*'Оценка сложности задач'!$G$30)+(IF(C20='Оценка сложности задач'!$A$31,1,0)*IF(D20='Оценка сложности задач'!$B$31,1,0)*'Оценка сложности задач'!$G$31)+(IF(C20='Оценка сложности задач'!$A$32,1,0)*IF(D20='Оценка сложности задач'!$B$32,1,0)*'Оценка сложности задач'!$G$32)+(IF(C20='Оценка сложности задач'!$A$33,1,0)*IF(D20='Оценка сложности задач'!$B$33,1,0)*'Оценка сложности задач'!$G$33)+(IF(C20='Оценка сложности задач'!$A$34,1,0)*IF(D20='Оценка сложности задач'!$B$34,1,0)*'Оценка сложности задач'!$G$34)+(IF(C20='Оценка сложности задач'!$A$35,1,0)*IF(D20='Оценка сложности задач'!$B$35,1,0)*'Оценка сложности задач'!$G$35)+(IF(C20='Оценка сложности задач'!$A$36,1,0)*IF(D20='Оценка сложности задач'!$B$36,1,0)*'Оценка сложности задач'!$G$36)+(IF(C20='Оценка сложности задач'!$A$37,1,0)*IF(D20='Оценка сложности задач'!$B$37,1,0)*'Оценка сложности задач'!$G$37)+(IF(C20='Оценка сложности задач'!$A$38,1,0)*IF(D20='Оценка сложности задач'!$B$38,1,0)*'Оценка сложности задач'!$G$38)+(IF(C20='Оценка сложности задач'!$A$39,1,0)*IF(D20='Оценка сложности задач'!$B$39,1,0)*'Оценка сложности задач'!$G$39)+(IF(C20='Оценка сложности задач'!$A$40,1,0)*IF(D20='Оценка сложности задач'!$B$40,1,0)*'Оценка сложности задач'!$G$40)</f>
        <v>0</v>
      </c>
      <c r="F20" s="49"/>
    </row>
    <row r="21" spans="1:6" x14ac:dyDescent="0.35">
      <c r="A21" s="54" t="s">
        <v>46</v>
      </c>
      <c r="B21" s="50"/>
      <c r="C21" s="56"/>
      <c r="D21" s="56"/>
      <c r="E21" s="56">
        <f>(IF(C21='Оценка сложности задач'!$A$2,1,0)*IF(D21='Оценка сложности задач'!$B$2,1,0)*'Оценка сложности задач'!$G$2)+(IF(C21='Оценка сложности задач'!$A$3,1,0)*IF(D21='Оценка сложности задач'!$B$3,1,0)*'Оценка сложности задач'!$G$3)+(IF(C21='Оценка сложности задач'!$A$4,1,0)*IF(D21='Оценка сложности задач'!$B$4,1,0)*'Оценка сложности задач'!$G$4)+(IF(C21='Оценка сложности задач'!$A$5,1,0)*IF(D21='Оценка сложности задач'!$B$5,1,0)*'Оценка сложности задач'!$G$5)+(IF(C21='Оценка сложности задач'!$A$6,1,0)*IF(D21='Оценка сложности задач'!$B$6,1,0)*'Оценка сложности задач'!$G$6)+(IF(C21='Оценка сложности задач'!$A$7,1,0)*IF(D21='Оценка сложности задач'!$B$7,1,0)*'Оценка сложности задач'!$G$7)+(IF(C21='Оценка сложности задач'!$A$8,1,0)*IF(D21='Оценка сложности задач'!$B$8,1,0)*'Оценка сложности задач'!$G$8)+(IF(C21='Оценка сложности задач'!$A$10,1,0)*IF(D21='Оценка сложности задач'!$B$10,1,0)*'Оценка сложности задач'!$G$10)+(IF(C21='Оценка сложности задач'!$A$9,1,0)*IF(D21='Оценка сложности задач'!$B$9,1,0)*'Оценка сложности задач'!$G$9)+ (IF(C21='Оценка сложности задач'!$A$11,1,0)*IF(D21='Оценка сложности задач'!$B$11,1,0)*'Оценка сложности задач'!$G$11) + (IF(C21='Оценка сложности задач'!$A$12,1,0)*IF(D21='Оценка сложности задач'!$B$12,1,0)*'Оценка сложности задач'!$G$12) + (IF(C21='Оценка сложности задач'!$A$13,1,0)*IF(D21='Оценка сложности задач'!$B$13,1,0)*'Оценка сложности задач'!$G$13) + (IF(C21='Оценка сложности задач'!$A$14,1,0)*IF(D21='Оценка сложности задач'!$B$14,1,0)*'Оценка сложности задач'!$G$14) + (IF(C21='Оценка сложности задач'!$A$15,1,0)*IF(D21='Оценка сложности задач'!$B$15,1,0)*'Оценка сложности задач'!$G$15) + (IF(C21='Оценка сложности задач'!$A$16,1,0)*IF(D21='Оценка сложности задач'!$B$16,1,0)*'Оценка сложности задач'!$G$16) + (IF(C21='Оценка сложности задач'!$A$17,1,0)*IF(D21='Оценка сложности задач'!$B$17,1,0)*'Оценка сложности задач'!$G$17) + (IF(C21='Оценка сложности задач'!$A$18,1,0)*IF(D21='Оценка сложности задач'!$B$18,1,0)*'Оценка сложности задач'!$G$18) + (IF(C21='Оценка сложности задач'!$A$19,1,0)*IF(D21='Оценка сложности задач'!$B$19,1,0)*'Оценка сложности задач'!$G$19)+(IF(C21='Оценка сложности задач'!$A$20,1,0)*IF(D21='Оценка сложности задач'!$B$20,1,0)*'Оценка сложности задач'!$G$20)+(IF(C21='Оценка сложности задач'!$A$21,1,0)*IF(D21='Оценка сложности задач'!$B$21,1,0)*'Оценка сложности задач'!$G$21)+(IF(C21='Оценка сложности задач'!$A$22,1,0)*IF(D21='Оценка сложности задач'!$B$22,1,0)*'Оценка сложности задач'!$G$22)+(IF(C21='Оценка сложности задач'!$A$23,1,0)*IF(D21='Оценка сложности задач'!$B$23,1,0)*'Оценка сложности задач'!$G$23)+(IF(C21='Оценка сложности задач'!$A$24,1,0)*IF(D21='Оценка сложности задач'!$B$24,1,0)*'Оценка сложности задач'!$G$24)+(IF(C21='Оценка сложности задач'!$A$25,1,0)*IF(D21='Оценка сложности задач'!$B$25,1,0)*'Оценка сложности задач'!$G$25)+(IF(C21='Оценка сложности задач'!$A$26,1,0)*IF(D21='Оценка сложности задач'!$B$26,1,0)*'Оценка сложности задач'!$G$26)+(IF(C21='Оценка сложности задач'!$A$27,1,0)*IF(D21='Оценка сложности задач'!$B$27,1,0)*'Оценка сложности задач'!$G$27)+(IF(C21='Оценка сложности задач'!$A$28,1,0)*IF(D21='Оценка сложности задач'!$B$28,1,0)*'Оценка сложности задач'!$G$28)+(IF(C21='Оценка сложности задач'!$A$29,1,0)*IF(D21='Оценка сложности задач'!$B$29,1,0)*'Оценка сложности задач'!$G$29)+(IF(C21='Оценка сложности задач'!$A$30,1,0)*IF(D21='Оценка сложности задач'!$B$30,1,0)*'Оценка сложности задач'!$G$30)+(IF(C21='Оценка сложности задач'!$A$31,1,0)*IF(D21='Оценка сложности задач'!$B$31,1,0)*'Оценка сложности задач'!$G$31)+(IF(C21='Оценка сложности задач'!$A$32,1,0)*IF(D21='Оценка сложности задач'!$B$32,1,0)*'Оценка сложности задач'!$G$32)+(IF(C21='Оценка сложности задач'!$A$33,1,0)*IF(D21='Оценка сложности задач'!$B$33,1,0)*'Оценка сложности задач'!$G$33)+(IF(C21='Оценка сложности задач'!$A$34,1,0)*IF(D21='Оценка сложности задач'!$B$34,1,0)*'Оценка сложности задач'!$G$34)+(IF(C21='Оценка сложности задач'!$A$35,1,0)*IF(D21='Оценка сложности задач'!$B$35,1,0)*'Оценка сложности задач'!$G$35)+(IF(C21='Оценка сложности задач'!$A$36,1,0)*IF(D21='Оценка сложности задач'!$B$36,1,0)*'Оценка сложности задач'!$G$36)+(IF(C21='Оценка сложности задач'!$A$37,1,0)*IF(D21='Оценка сложности задач'!$B$37,1,0)*'Оценка сложности задач'!$G$37)+(IF(C21='Оценка сложности задач'!$A$38,1,0)*IF(D21='Оценка сложности задач'!$B$38,1,0)*'Оценка сложности задач'!$G$38)+(IF(C21='Оценка сложности задач'!$A$39,1,0)*IF(D21='Оценка сложности задач'!$B$39,1,0)*'Оценка сложности задач'!$G$39)+(IF(C21='Оценка сложности задач'!$A$40,1,0)*IF(D21='Оценка сложности задач'!$B$40,1,0)*'Оценка сложности задач'!$G$40)</f>
        <v>0</v>
      </c>
      <c r="F21" s="49"/>
    </row>
    <row r="22" spans="1:6" x14ac:dyDescent="0.35">
      <c r="A22" s="54" t="s">
        <v>47</v>
      </c>
      <c r="B22" s="50"/>
      <c r="C22" s="56"/>
      <c r="D22" s="56"/>
      <c r="E22" s="56">
        <f>(IF(C22='Оценка сложности задач'!$A$2,1,0)*IF(D22='Оценка сложности задач'!$B$2,1,0)*'Оценка сложности задач'!$G$2)+(IF(C22='Оценка сложности задач'!$A$3,1,0)*IF(D22='Оценка сложности задач'!$B$3,1,0)*'Оценка сложности задач'!$G$3)+(IF(C22='Оценка сложности задач'!$A$4,1,0)*IF(D22='Оценка сложности задач'!$B$4,1,0)*'Оценка сложности задач'!$G$4)+(IF(C22='Оценка сложности задач'!$A$5,1,0)*IF(D22='Оценка сложности задач'!$B$5,1,0)*'Оценка сложности задач'!$G$5)+(IF(C22='Оценка сложности задач'!$A$6,1,0)*IF(D22='Оценка сложности задач'!$B$6,1,0)*'Оценка сложности задач'!$G$6)+(IF(C22='Оценка сложности задач'!$A$7,1,0)*IF(D22='Оценка сложности задач'!$B$7,1,0)*'Оценка сложности задач'!$G$7)+(IF(C22='Оценка сложности задач'!$A$8,1,0)*IF(D22='Оценка сложности задач'!$B$8,1,0)*'Оценка сложности задач'!$G$8)+(IF(C22='Оценка сложности задач'!$A$10,1,0)*IF(D22='Оценка сложности задач'!$B$10,1,0)*'Оценка сложности задач'!$G$10)+(IF(C22='Оценка сложности задач'!$A$9,1,0)*IF(D22='Оценка сложности задач'!$B$9,1,0)*'Оценка сложности задач'!$G$9)+ (IF(C22='Оценка сложности задач'!$A$11,1,0)*IF(D22='Оценка сложности задач'!$B$11,1,0)*'Оценка сложности задач'!$G$11) + (IF(C22='Оценка сложности задач'!$A$12,1,0)*IF(D22='Оценка сложности задач'!$B$12,1,0)*'Оценка сложности задач'!$G$12) + (IF(C22='Оценка сложности задач'!$A$13,1,0)*IF(D22='Оценка сложности задач'!$B$13,1,0)*'Оценка сложности задач'!$G$13) + (IF(C22='Оценка сложности задач'!$A$14,1,0)*IF(D22='Оценка сложности задач'!$B$14,1,0)*'Оценка сложности задач'!$G$14) + (IF(C22='Оценка сложности задач'!$A$15,1,0)*IF(D22='Оценка сложности задач'!$B$15,1,0)*'Оценка сложности задач'!$G$15) + (IF(C22='Оценка сложности задач'!$A$16,1,0)*IF(D22='Оценка сложности задач'!$B$16,1,0)*'Оценка сложности задач'!$G$16) + (IF(C22='Оценка сложности задач'!$A$17,1,0)*IF(D22='Оценка сложности задач'!$B$17,1,0)*'Оценка сложности задач'!$G$17) + (IF(C22='Оценка сложности задач'!$A$18,1,0)*IF(D22='Оценка сложности задач'!$B$18,1,0)*'Оценка сложности задач'!$G$18) + (IF(C22='Оценка сложности задач'!$A$19,1,0)*IF(D22='Оценка сложности задач'!$B$19,1,0)*'Оценка сложности задач'!$G$19)+(IF(C22='Оценка сложности задач'!$A$20,1,0)*IF(D22='Оценка сложности задач'!$B$20,1,0)*'Оценка сложности задач'!$G$20)+(IF(C22='Оценка сложности задач'!$A$21,1,0)*IF(D22='Оценка сложности задач'!$B$21,1,0)*'Оценка сложности задач'!$G$21)+(IF(C22='Оценка сложности задач'!$A$22,1,0)*IF(D22='Оценка сложности задач'!$B$22,1,0)*'Оценка сложности задач'!$G$22)+(IF(C22='Оценка сложности задач'!$A$23,1,0)*IF(D22='Оценка сложности задач'!$B$23,1,0)*'Оценка сложности задач'!$G$23)+(IF(C22='Оценка сложности задач'!$A$24,1,0)*IF(D22='Оценка сложности задач'!$B$24,1,0)*'Оценка сложности задач'!$G$24)+(IF(C22='Оценка сложности задач'!$A$25,1,0)*IF(D22='Оценка сложности задач'!$B$25,1,0)*'Оценка сложности задач'!$G$25)+(IF(C22='Оценка сложности задач'!$A$26,1,0)*IF(D22='Оценка сложности задач'!$B$26,1,0)*'Оценка сложности задач'!$G$26)+(IF(C22='Оценка сложности задач'!$A$27,1,0)*IF(D22='Оценка сложности задач'!$B$27,1,0)*'Оценка сложности задач'!$G$27)+(IF(C22='Оценка сложности задач'!$A$28,1,0)*IF(D22='Оценка сложности задач'!$B$28,1,0)*'Оценка сложности задач'!$G$28)+(IF(C22='Оценка сложности задач'!$A$29,1,0)*IF(D22='Оценка сложности задач'!$B$29,1,0)*'Оценка сложности задач'!$G$29)+(IF(C22='Оценка сложности задач'!$A$30,1,0)*IF(D22='Оценка сложности задач'!$B$30,1,0)*'Оценка сложности задач'!$G$30)+(IF(C22='Оценка сложности задач'!$A$31,1,0)*IF(D22='Оценка сложности задач'!$B$31,1,0)*'Оценка сложности задач'!$G$31)+(IF(C22='Оценка сложности задач'!$A$32,1,0)*IF(D22='Оценка сложности задач'!$B$32,1,0)*'Оценка сложности задач'!$G$32)+(IF(C22='Оценка сложности задач'!$A$33,1,0)*IF(D22='Оценка сложности задач'!$B$33,1,0)*'Оценка сложности задач'!$G$33)+(IF(C22='Оценка сложности задач'!$A$34,1,0)*IF(D22='Оценка сложности задач'!$B$34,1,0)*'Оценка сложности задач'!$G$34)+(IF(C22='Оценка сложности задач'!$A$35,1,0)*IF(D22='Оценка сложности задач'!$B$35,1,0)*'Оценка сложности задач'!$G$35)+(IF(C22='Оценка сложности задач'!$A$36,1,0)*IF(D22='Оценка сложности задач'!$B$36,1,0)*'Оценка сложности задач'!$G$36)+(IF(C22='Оценка сложности задач'!$A$37,1,0)*IF(D22='Оценка сложности задач'!$B$37,1,0)*'Оценка сложности задач'!$G$37)+(IF(C22='Оценка сложности задач'!$A$38,1,0)*IF(D22='Оценка сложности задач'!$B$38,1,0)*'Оценка сложности задач'!$G$38)+(IF(C22='Оценка сложности задач'!$A$39,1,0)*IF(D22='Оценка сложности задач'!$B$39,1,0)*'Оценка сложности задач'!$G$39)+(IF(C22='Оценка сложности задач'!$A$40,1,0)*IF(D22='Оценка сложности задач'!$B$40,1,0)*'Оценка сложности задач'!$G$40)</f>
        <v>0</v>
      </c>
      <c r="F22" s="49"/>
    </row>
    <row r="23" spans="1:6" x14ac:dyDescent="0.35">
      <c r="A23" s="54" t="s">
        <v>48</v>
      </c>
      <c r="B23" s="50"/>
      <c r="C23" s="56"/>
      <c r="D23" s="56"/>
      <c r="E23" s="56">
        <f>(IF(C23='Оценка сложности задач'!$A$2,1,0)*IF(D23='Оценка сложности задач'!$B$2,1,0)*'Оценка сложности задач'!$G$2)+(IF(C23='Оценка сложности задач'!$A$3,1,0)*IF(D23='Оценка сложности задач'!$B$3,1,0)*'Оценка сложности задач'!$G$3)+(IF(C23='Оценка сложности задач'!$A$4,1,0)*IF(D23='Оценка сложности задач'!$B$4,1,0)*'Оценка сложности задач'!$G$4)+(IF(C23='Оценка сложности задач'!$A$5,1,0)*IF(D23='Оценка сложности задач'!$B$5,1,0)*'Оценка сложности задач'!$G$5)+(IF(C23='Оценка сложности задач'!$A$6,1,0)*IF(D23='Оценка сложности задач'!$B$6,1,0)*'Оценка сложности задач'!$G$6)+(IF(C23='Оценка сложности задач'!$A$7,1,0)*IF(D23='Оценка сложности задач'!$B$7,1,0)*'Оценка сложности задач'!$G$7)+(IF(C23='Оценка сложности задач'!$A$8,1,0)*IF(D23='Оценка сложности задач'!$B$8,1,0)*'Оценка сложности задач'!$G$8)+(IF(C23='Оценка сложности задач'!$A$10,1,0)*IF(D23='Оценка сложности задач'!$B$10,1,0)*'Оценка сложности задач'!$G$10)+(IF(C23='Оценка сложности задач'!$A$9,1,0)*IF(D23='Оценка сложности задач'!$B$9,1,0)*'Оценка сложности задач'!$G$9)+ (IF(C23='Оценка сложности задач'!$A$11,1,0)*IF(D23='Оценка сложности задач'!$B$11,1,0)*'Оценка сложности задач'!$G$11) + (IF(C23='Оценка сложности задач'!$A$12,1,0)*IF(D23='Оценка сложности задач'!$B$12,1,0)*'Оценка сложности задач'!$G$12) + (IF(C23='Оценка сложности задач'!$A$13,1,0)*IF(D23='Оценка сложности задач'!$B$13,1,0)*'Оценка сложности задач'!$G$13) + (IF(C23='Оценка сложности задач'!$A$14,1,0)*IF(D23='Оценка сложности задач'!$B$14,1,0)*'Оценка сложности задач'!$G$14) + (IF(C23='Оценка сложности задач'!$A$15,1,0)*IF(D23='Оценка сложности задач'!$B$15,1,0)*'Оценка сложности задач'!$G$15) + (IF(C23='Оценка сложности задач'!$A$16,1,0)*IF(D23='Оценка сложности задач'!$B$16,1,0)*'Оценка сложности задач'!$G$16) + (IF(C23='Оценка сложности задач'!$A$17,1,0)*IF(D23='Оценка сложности задач'!$B$17,1,0)*'Оценка сложности задач'!$G$17) + (IF(C23='Оценка сложности задач'!$A$18,1,0)*IF(D23='Оценка сложности задач'!$B$18,1,0)*'Оценка сложности задач'!$G$18) + (IF(C23='Оценка сложности задач'!$A$19,1,0)*IF(D23='Оценка сложности задач'!$B$19,1,0)*'Оценка сложности задач'!$G$19)+(IF(C23='Оценка сложности задач'!$A$20,1,0)*IF(D23='Оценка сложности задач'!$B$20,1,0)*'Оценка сложности задач'!$G$20)+(IF(C23='Оценка сложности задач'!$A$21,1,0)*IF(D23='Оценка сложности задач'!$B$21,1,0)*'Оценка сложности задач'!$G$21)+(IF(C23='Оценка сложности задач'!$A$22,1,0)*IF(D23='Оценка сложности задач'!$B$22,1,0)*'Оценка сложности задач'!$G$22)+(IF(C23='Оценка сложности задач'!$A$23,1,0)*IF(D23='Оценка сложности задач'!$B$23,1,0)*'Оценка сложности задач'!$G$23)+(IF(C23='Оценка сложности задач'!$A$24,1,0)*IF(D23='Оценка сложности задач'!$B$24,1,0)*'Оценка сложности задач'!$G$24)+(IF(C23='Оценка сложности задач'!$A$25,1,0)*IF(D23='Оценка сложности задач'!$B$25,1,0)*'Оценка сложности задач'!$G$25)+(IF(C23='Оценка сложности задач'!$A$26,1,0)*IF(D23='Оценка сложности задач'!$B$26,1,0)*'Оценка сложности задач'!$G$26)+(IF(C23='Оценка сложности задач'!$A$27,1,0)*IF(D23='Оценка сложности задач'!$B$27,1,0)*'Оценка сложности задач'!$G$27)+(IF(C23='Оценка сложности задач'!$A$28,1,0)*IF(D23='Оценка сложности задач'!$B$28,1,0)*'Оценка сложности задач'!$G$28)+(IF(C23='Оценка сложности задач'!$A$29,1,0)*IF(D23='Оценка сложности задач'!$B$29,1,0)*'Оценка сложности задач'!$G$29)+(IF(C23='Оценка сложности задач'!$A$30,1,0)*IF(D23='Оценка сложности задач'!$B$30,1,0)*'Оценка сложности задач'!$G$30)+(IF(C23='Оценка сложности задач'!$A$31,1,0)*IF(D23='Оценка сложности задач'!$B$31,1,0)*'Оценка сложности задач'!$G$31)+(IF(C23='Оценка сложности задач'!$A$32,1,0)*IF(D23='Оценка сложности задач'!$B$32,1,0)*'Оценка сложности задач'!$G$32)+(IF(C23='Оценка сложности задач'!$A$33,1,0)*IF(D23='Оценка сложности задач'!$B$33,1,0)*'Оценка сложности задач'!$G$33)+(IF(C23='Оценка сложности задач'!$A$34,1,0)*IF(D23='Оценка сложности задач'!$B$34,1,0)*'Оценка сложности задач'!$G$34)+(IF(C23='Оценка сложности задач'!$A$35,1,0)*IF(D23='Оценка сложности задач'!$B$35,1,0)*'Оценка сложности задач'!$G$35)+(IF(C23='Оценка сложности задач'!$A$36,1,0)*IF(D23='Оценка сложности задач'!$B$36,1,0)*'Оценка сложности задач'!$G$36)+(IF(C23='Оценка сложности задач'!$A$37,1,0)*IF(D23='Оценка сложности задач'!$B$37,1,0)*'Оценка сложности задач'!$G$37)+(IF(C23='Оценка сложности задач'!$A$38,1,0)*IF(D23='Оценка сложности задач'!$B$38,1,0)*'Оценка сложности задач'!$G$38)+(IF(C23='Оценка сложности задач'!$A$39,1,0)*IF(D23='Оценка сложности задач'!$B$39,1,0)*'Оценка сложности задач'!$G$39)+(IF(C23='Оценка сложности задач'!$A$40,1,0)*IF(D23='Оценка сложности задач'!$B$40,1,0)*'Оценка сложности задач'!$G$40)</f>
        <v>0</v>
      </c>
      <c r="F23" s="49"/>
    </row>
    <row r="24" spans="1:6" x14ac:dyDescent="0.35">
      <c r="A24" s="54" t="s">
        <v>49</v>
      </c>
      <c r="B24" s="50"/>
      <c r="C24" s="56"/>
      <c r="D24" s="56"/>
      <c r="E24" s="56">
        <f>(IF(C24='Оценка сложности задач'!$A$2,1,0)*IF(D24='Оценка сложности задач'!$B$2,1,0)*'Оценка сложности задач'!$G$2)+(IF(C24='Оценка сложности задач'!$A$3,1,0)*IF(D24='Оценка сложности задач'!$B$3,1,0)*'Оценка сложности задач'!$G$3)+(IF(C24='Оценка сложности задач'!$A$4,1,0)*IF(D24='Оценка сложности задач'!$B$4,1,0)*'Оценка сложности задач'!$G$4)+(IF(C24='Оценка сложности задач'!$A$5,1,0)*IF(D24='Оценка сложности задач'!$B$5,1,0)*'Оценка сложности задач'!$G$5)+(IF(C24='Оценка сложности задач'!$A$6,1,0)*IF(D24='Оценка сложности задач'!$B$6,1,0)*'Оценка сложности задач'!$G$6)+(IF(C24='Оценка сложности задач'!$A$7,1,0)*IF(D24='Оценка сложности задач'!$B$7,1,0)*'Оценка сложности задач'!$G$7)+(IF(C24='Оценка сложности задач'!$A$8,1,0)*IF(D24='Оценка сложности задач'!$B$8,1,0)*'Оценка сложности задач'!$G$8)+(IF(C24='Оценка сложности задач'!$A$10,1,0)*IF(D24='Оценка сложности задач'!$B$10,1,0)*'Оценка сложности задач'!$G$10)+(IF(C24='Оценка сложности задач'!$A$9,1,0)*IF(D24='Оценка сложности задач'!$B$9,1,0)*'Оценка сложности задач'!$G$9)+ (IF(C24='Оценка сложности задач'!$A$11,1,0)*IF(D24='Оценка сложности задач'!$B$11,1,0)*'Оценка сложности задач'!$G$11) + (IF(C24='Оценка сложности задач'!$A$12,1,0)*IF(D24='Оценка сложности задач'!$B$12,1,0)*'Оценка сложности задач'!$G$12) + (IF(C24='Оценка сложности задач'!$A$13,1,0)*IF(D24='Оценка сложности задач'!$B$13,1,0)*'Оценка сложности задач'!$G$13) + (IF(C24='Оценка сложности задач'!$A$14,1,0)*IF(D24='Оценка сложности задач'!$B$14,1,0)*'Оценка сложности задач'!$G$14) + (IF(C24='Оценка сложности задач'!$A$15,1,0)*IF(D24='Оценка сложности задач'!$B$15,1,0)*'Оценка сложности задач'!$G$15) + (IF(C24='Оценка сложности задач'!$A$16,1,0)*IF(D24='Оценка сложности задач'!$B$16,1,0)*'Оценка сложности задач'!$G$16) + (IF(C24='Оценка сложности задач'!$A$17,1,0)*IF(D24='Оценка сложности задач'!$B$17,1,0)*'Оценка сложности задач'!$G$17) + (IF(C24='Оценка сложности задач'!$A$18,1,0)*IF(D24='Оценка сложности задач'!$B$18,1,0)*'Оценка сложности задач'!$G$18) + (IF(C24='Оценка сложности задач'!$A$19,1,0)*IF(D24='Оценка сложности задач'!$B$19,1,0)*'Оценка сложности задач'!$G$19)+(IF(C24='Оценка сложности задач'!$A$20,1,0)*IF(D24='Оценка сложности задач'!$B$20,1,0)*'Оценка сложности задач'!$G$20)+(IF(C24='Оценка сложности задач'!$A$21,1,0)*IF(D24='Оценка сложности задач'!$B$21,1,0)*'Оценка сложности задач'!$G$21)+(IF(C24='Оценка сложности задач'!$A$22,1,0)*IF(D24='Оценка сложности задач'!$B$22,1,0)*'Оценка сложности задач'!$G$22)+(IF(C24='Оценка сложности задач'!$A$23,1,0)*IF(D24='Оценка сложности задач'!$B$23,1,0)*'Оценка сложности задач'!$G$23)+(IF(C24='Оценка сложности задач'!$A$24,1,0)*IF(D24='Оценка сложности задач'!$B$24,1,0)*'Оценка сложности задач'!$G$24)+(IF(C24='Оценка сложности задач'!$A$25,1,0)*IF(D24='Оценка сложности задач'!$B$25,1,0)*'Оценка сложности задач'!$G$25)+(IF(C24='Оценка сложности задач'!$A$26,1,0)*IF(D24='Оценка сложности задач'!$B$26,1,0)*'Оценка сложности задач'!$G$26)+(IF(C24='Оценка сложности задач'!$A$27,1,0)*IF(D24='Оценка сложности задач'!$B$27,1,0)*'Оценка сложности задач'!$G$27)+(IF(C24='Оценка сложности задач'!$A$28,1,0)*IF(D24='Оценка сложности задач'!$B$28,1,0)*'Оценка сложности задач'!$G$28)+(IF(C24='Оценка сложности задач'!$A$29,1,0)*IF(D24='Оценка сложности задач'!$B$29,1,0)*'Оценка сложности задач'!$G$29)+(IF(C24='Оценка сложности задач'!$A$30,1,0)*IF(D24='Оценка сложности задач'!$B$30,1,0)*'Оценка сложности задач'!$G$30)+(IF(C24='Оценка сложности задач'!$A$31,1,0)*IF(D24='Оценка сложности задач'!$B$31,1,0)*'Оценка сложности задач'!$G$31)+(IF(C24='Оценка сложности задач'!$A$32,1,0)*IF(D24='Оценка сложности задач'!$B$32,1,0)*'Оценка сложности задач'!$G$32)+(IF(C24='Оценка сложности задач'!$A$33,1,0)*IF(D24='Оценка сложности задач'!$B$33,1,0)*'Оценка сложности задач'!$G$33)+(IF(C24='Оценка сложности задач'!$A$34,1,0)*IF(D24='Оценка сложности задач'!$B$34,1,0)*'Оценка сложности задач'!$G$34)+(IF(C24='Оценка сложности задач'!$A$35,1,0)*IF(D24='Оценка сложности задач'!$B$35,1,0)*'Оценка сложности задач'!$G$35)+(IF(C24='Оценка сложности задач'!$A$36,1,0)*IF(D24='Оценка сложности задач'!$B$36,1,0)*'Оценка сложности задач'!$G$36)+(IF(C24='Оценка сложности задач'!$A$37,1,0)*IF(D24='Оценка сложности задач'!$B$37,1,0)*'Оценка сложности задач'!$G$37)+(IF(C24='Оценка сложности задач'!$A$38,1,0)*IF(D24='Оценка сложности задач'!$B$38,1,0)*'Оценка сложности задач'!$G$38)+(IF(C24='Оценка сложности задач'!$A$39,1,0)*IF(D24='Оценка сложности задач'!$B$39,1,0)*'Оценка сложности задач'!$G$39)+(IF(C24='Оценка сложности задач'!$A$40,1,0)*IF(D24='Оценка сложности задач'!$B$40,1,0)*'Оценка сложности задач'!$G$40)</f>
        <v>0</v>
      </c>
      <c r="F24" s="49"/>
    </row>
    <row r="25" spans="1:6" x14ac:dyDescent="0.35">
      <c r="A25" s="54" t="s">
        <v>50</v>
      </c>
      <c r="B25" s="50"/>
      <c r="C25" s="56"/>
      <c r="D25" s="56"/>
      <c r="E25" s="56">
        <f>(IF(C25='Оценка сложности задач'!$A$2,1,0)*IF(D25='Оценка сложности задач'!$B$2,1,0)*'Оценка сложности задач'!$G$2)+(IF(C25='Оценка сложности задач'!$A$3,1,0)*IF(D25='Оценка сложности задач'!$B$3,1,0)*'Оценка сложности задач'!$G$3)+(IF(C25='Оценка сложности задач'!$A$4,1,0)*IF(D25='Оценка сложности задач'!$B$4,1,0)*'Оценка сложности задач'!$G$4)+(IF(C25='Оценка сложности задач'!$A$5,1,0)*IF(D25='Оценка сложности задач'!$B$5,1,0)*'Оценка сложности задач'!$G$5)+(IF(C25='Оценка сложности задач'!$A$6,1,0)*IF(D25='Оценка сложности задач'!$B$6,1,0)*'Оценка сложности задач'!$G$6)+(IF(C25='Оценка сложности задач'!$A$7,1,0)*IF(D25='Оценка сложности задач'!$B$7,1,0)*'Оценка сложности задач'!$G$7)+(IF(C25='Оценка сложности задач'!$A$8,1,0)*IF(D25='Оценка сложности задач'!$B$8,1,0)*'Оценка сложности задач'!$G$8)+(IF(C25='Оценка сложности задач'!$A$10,1,0)*IF(D25='Оценка сложности задач'!$B$10,1,0)*'Оценка сложности задач'!$G$10)+(IF(C25='Оценка сложности задач'!$A$9,1,0)*IF(D25='Оценка сложности задач'!$B$9,1,0)*'Оценка сложности задач'!$G$9)+ (IF(C25='Оценка сложности задач'!$A$11,1,0)*IF(D25='Оценка сложности задач'!$B$11,1,0)*'Оценка сложности задач'!$G$11) + (IF(C25='Оценка сложности задач'!$A$12,1,0)*IF(D25='Оценка сложности задач'!$B$12,1,0)*'Оценка сложности задач'!$G$12) + (IF(C25='Оценка сложности задач'!$A$13,1,0)*IF(D25='Оценка сложности задач'!$B$13,1,0)*'Оценка сложности задач'!$G$13) + (IF(C25='Оценка сложности задач'!$A$14,1,0)*IF(D25='Оценка сложности задач'!$B$14,1,0)*'Оценка сложности задач'!$G$14) + (IF(C25='Оценка сложности задач'!$A$15,1,0)*IF(D25='Оценка сложности задач'!$B$15,1,0)*'Оценка сложности задач'!$G$15) + (IF(C25='Оценка сложности задач'!$A$16,1,0)*IF(D25='Оценка сложности задач'!$B$16,1,0)*'Оценка сложности задач'!$G$16) + (IF(C25='Оценка сложности задач'!$A$17,1,0)*IF(D25='Оценка сложности задач'!$B$17,1,0)*'Оценка сложности задач'!$G$17) + (IF(C25='Оценка сложности задач'!$A$18,1,0)*IF(D25='Оценка сложности задач'!$B$18,1,0)*'Оценка сложности задач'!$G$18) + (IF(C25='Оценка сложности задач'!$A$19,1,0)*IF(D25='Оценка сложности задач'!$B$19,1,0)*'Оценка сложности задач'!$G$19)+(IF(C25='Оценка сложности задач'!$A$20,1,0)*IF(D25='Оценка сложности задач'!$B$20,1,0)*'Оценка сложности задач'!$G$20)+(IF(C25='Оценка сложности задач'!$A$21,1,0)*IF(D25='Оценка сложности задач'!$B$21,1,0)*'Оценка сложности задач'!$G$21)+(IF(C25='Оценка сложности задач'!$A$22,1,0)*IF(D25='Оценка сложности задач'!$B$22,1,0)*'Оценка сложности задач'!$G$22)+(IF(C25='Оценка сложности задач'!$A$23,1,0)*IF(D25='Оценка сложности задач'!$B$23,1,0)*'Оценка сложности задач'!$G$23)+(IF(C25='Оценка сложности задач'!$A$24,1,0)*IF(D25='Оценка сложности задач'!$B$24,1,0)*'Оценка сложности задач'!$G$24)+(IF(C25='Оценка сложности задач'!$A$25,1,0)*IF(D25='Оценка сложности задач'!$B$25,1,0)*'Оценка сложности задач'!$G$25)+(IF(C25='Оценка сложности задач'!$A$26,1,0)*IF(D25='Оценка сложности задач'!$B$26,1,0)*'Оценка сложности задач'!$G$26)+(IF(C25='Оценка сложности задач'!$A$27,1,0)*IF(D25='Оценка сложности задач'!$B$27,1,0)*'Оценка сложности задач'!$G$27)+(IF(C25='Оценка сложности задач'!$A$28,1,0)*IF(D25='Оценка сложности задач'!$B$28,1,0)*'Оценка сложности задач'!$G$28)+(IF(C25='Оценка сложности задач'!$A$29,1,0)*IF(D25='Оценка сложности задач'!$B$29,1,0)*'Оценка сложности задач'!$G$29)+(IF(C25='Оценка сложности задач'!$A$30,1,0)*IF(D25='Оценка сложности задач'!$B$30,1,0)*'Оценка сложности задач'!$G$30)+(IF(C25='Оценка сложности задач'!$A$31,1,0)*IF(D25='Оценка сложности задач'!$B$31,1,0)*'Оценка сложности задач'!$G$31)+(IF(C25='Оценка сложности задач'!$A$32,1,0)*IF(D25='Оценка сложности задач'!$B$32,1,0)*'Оценка сложности задач'!$G$32)+(IF(C25='Оценка сложности задач'!$A$33,1,0)*IF(D25='Оценка сложности задач'!$B$33,1,0)*'Оценка сложности задач'!$G$33)+(IF(C25='Оценка сложности задач'!$A$34,1,0)*IF(D25='Оценка сложности задач'!$B$34,1,0)*'Оценка сложности задач'!$G$34)+(IF(C25='Оценка сложности задач'!$A$35,1,0)*IF(D25='Оценка сложности задач'!$B$35,1,0)*'Оценка сложности задач'!$G$35)+(IF(C25='Оценка сложности задач'!$A$36,1,0)*IF(D25='Оценка сложности задач'!$B$36,1,0)*'Оценка сложности задач'!$G$36)+(IF(C25='Оценка сложности задач'!$A$37,1,0)*IF(D25='Оценка сложности задач'!$B$37,1,0)*'Оценка сложности задач'!$G$37)+(IF(C25='Оценка сложности задач'!$A$38,1,0)*IF(D25='Оценка сложности задач'!$B$38,1,0)*'Оценка сложности задач'!$G$38)+(IF(C25='Оценка сложности задач'!$A$39,1,0)*IF(D25='Оценка сложности задач'!$B$39,1,0)*'Оценка сложности задач'!$G$39)+(IF(C25='Оценка сложности задач'!$A$40,1,0)*IF(D25='Оценка сложности задач'!$B$40,1,0)*'Оценка сложности задач'!$G$40)</f>
        <v>0</v>
      </c>
      <c r="F25" s="49"/>
    </row>
    <row r="26" spans="1:6" x14ac:dyDescent="0.35">
      <c r="A26" s="54" t="s">
        <v>51</v>
      </c>
      <c r="B26" s="50"/>
      <c r="C26" s="56"/>
      <c r="D26" s="56"/>
      <c r="E26" s="56">
        <f>(IF(C26='Оценка сложности задач'!$A$2,1,0)*IF(D26='Оценка сложности задач'!$B$2,1,0)*'Оценка сложности задач'!$G$2)+(IF(C26='Оценка сложности задач'!$A$3,1,0)*IF(D26='Оценка сложности задач'!$B$3,1,0)*'Оценка сложности задач'!$G$3)+(IF(C26='Оценка сложности задач'!$A$4,1,0)*IF(D26='Оценка сложности задач'!$B$4,1,0)*'Оценка сложности задач'!$G$4)+(IF(C26='Оценка сложности задач'!$A$5,1,0)*IF(D26='Оценка сложности задач'!$B$5,1,0)*'Оценка сложности задач'!$G$5)+(IF(C26='Оценка сложности задач'!$A$6,1,0)*IF(D26='Оценка сложности задач'!$B$6,1,0)*'Оценка сложности задач'!$G$6)+(IF(C26='Оценка сложности задач'!$A$7,1,0)*IF(D26='Оценка сложности задач'!$B$7,1,0)*'Оценка сложности задач'!$G$7)+(IF(C26='Оценка сложности задач'!$A$8,1,0)*IF(D26='Оценка сложности задач'!$B$8,1,0)*'Оценка сложности задач'!$G$8)+(IF(C26='Оценка сложности задач'!$A$10,1,0)*IF(D26='Оценка сложности задач'!$B$10,1,0)*'Оценка сложности задач'!$G$10)+(IF(C26='Оценка сложности задач'!$A$9,1,0)*IF(D26='Оценка сложности задач'!$B$9,1,0)*'Оценка сложности задач'!$G$9)+ (IF(C26='Оценка сложности задач'!$A$11,1,0)*IF(D26='Оценка сложности задач'!$B$11,1,0)*'Оценка сложности задач'!$G$11) + (IF(C26='Оценка сложности задач'!$A$12,1,0)*IF(D26='Оценка сложности задач'!$B$12,1,0)*'Оценка сложности задач'!$G$12) + (IF(C26='Оценка сложности задач'!$A$13,1,0)*IF(D26='Оценка сложности задач'!$B$13,1,0)*'Оценка сложности задач'!$G$13) + (IF(C26='Оценка сложности задач'!$A$14,1,0)*IF(D26='Оценка сложности задач'!$B$14,1,0)*'Оценка сложности задач'!$G$14) + (IF(C26='Оценка сложности задач'!$A$15,1,0)*IF(D26='Оценка сложности задач'!$B$15,1,0)*'Оценка сложности задач'!$G$15) + (IF(C26='Оценка сложности задач'!$A$16,1,0)*IF(D26='Оценка сложности задач'!$B$16,1,0)*'Оценка сложности задач'!$G$16) + (IF(C26='Оценка сложности задач'!$A$17,1,0)*IF(D26='Оценка сложности задач'!$B$17,1,0)*'Оценка сложности задач'!$G$17) + (IF(C26='Оценка сложности задач'!$A$18,1,0)*IF(D26='Оценка сложности задач'!$B$18,1,0)*'Оценка сложности задач'!$G$18) + (IF(C26='Оценка сложности задач'!$A$19,1,0)*IF(D26='Оценка сложности задач'!$B$19,1,0)*'Оценка сложности задач'!$G$19)+(IF(C26='Оценка сложности задач'!$A$20,1,0)*IF(D26='Оценка сложности задач'!$B$20,1,0)*'Оценка сложности задач'!$G$20)+(IF(C26='Оценка сложности задач'!$A$21,1,0)*IF(D26='Оценка сложности задач'!$B$21,1,0)*'Оценка сложности задач'!$G$21)+(IF(C26='Оценка сложности задач'!$A$22,1,0)*IF(D26='Оценка сложности задач'!$B$22,1,0)*'Оценка сложности задач'!$G$22)+(IF(C26='Оценка сложности задач'!$A$23,1,0)*IF(D26='Оценка сложности задач'!$B$23,1,0)*'Оценка сложности задач'!$G$23)+(IF(C26='Оценка сложности задач'!$A$24,1,0)*IF(D26='Оценка сложности задач'!$B$24,1,0)*'Оценка сложности задач'!$G$24)+(IF(C26='Оценка сложности задач'!$A$25,1,0)*IF(D26='Оценка сложности задач'!$B$25,1,0)*'Оценка сложности задач'!$G$25)+(IF(C26='Оценка сложности задач'!$A$26,1,0)*IF(D26='Оценка сложности задач'!$B$26,1,0)*'Оценка сложности задач'!$G$26)+(IF(C26='Оценка сложности задач'!$A$27,1,0)*IF(D26='Оценка сложности задач'!$B$27,1,0)*'Оценка сложности задач'!$G$27)+(IF(C26='Оценка сложности задач'!$A$28,1,0)*IF(D26='Оценка сложности задач'!$B$28,1,0)*'Оценка сложности задач'!$G$28)+(IF(C26='Оценка сложности задач'!$A$29,1,0)*IF(D26='Оценка сложности задач'!$B$29,1,0)*'Оценка сложности задач'!$G$29)+(IF(C26='Оценка сложности задач'!$A$30,1,0)*IF(D26='Оценка сложности задач'!$B$30,1,0)*'Оценка сложности задач'!$G$30)+(IF(C26='Оценка сложности задач'!$A$31,1,0)*IF(D26='Оценка сложности задач'!$B$31,1,0)*'Оценка сложности задач'!$G$31)+(IF(C26='Оценка сложности задач'!$A$32,1,0)*IF(D26='Оценка сложности задач'!$B$32,1,0)*'Оценка сложности задач'!$G$32)+(IF(C26='Оценка сложности задач'!$A$33,1,0)*IF(D26='Оценка сложности задач'!$B$33,1,0)*'Оценка сложности задач'!$G$33)+(IF(C26='Оценка сложности задач'!$A$34,1,0)*IF(D26='Оценка сложности задач'!$B$34,1,0)*'Оценка сложности задач'!$G$34)+(IF(C26='Оценка сложности задач'!$A$35,1,0)*IF(D26='Оценка сложности задач'!$B$35,1,0)*'Оценка сложности задач'!$G$35)+(IF(C26='Оценка сложности задач'!$A$36,1,0)*IF(D26='Оценка сложности задач'!$B$36,1,0)*'Оценка сложности задач'!$G$36)+(IF(C26='Оценка сложности задач'!$A$37,1,0)*IF(D26='Оценка сложности задач'!$B$37,1,0)*'Оценка сложности задач'!$G$37)+(IF(C26='Оценка сложности задач'!$A$38,1,0)*IF(D26='Оценка сложности задач'!$B$38,1,0)*'Оценка сложности задач'!$G$38)+(IF(C26='Оценка сложности задач'!$A$39,1,0)*IF(D26='Оценка сложности задач'!$B$39,1,0)*'Оценка сложности задач'!$G$39)+(IF(C26='Оценка сложности задач'!$A$40,1,0)*IF(D26='Оценка сложности задач'!$B$40,1,0)*'Оценка сложности задач'!$G$40)</f>
        <v>0</v>
      </c>
      <c r="F26" s="49"/>
    </row>
    <row r="27" spans="1:6" x14ac:dyDescent="0.35">
      <c r="A27" s="54" t="s">
        <v>52</v>
      </c>
      <c r="B27" s="50"/>
      <c r="C27" s="56"/>
      <c r="D27" s="56"/>
      <c r="E27" s="56">
        <f>(IF(C27='Оценка сложности задач'!$A$2,1,0)*IF(D27='Оценка сложности задач'!$B$2,1,0)*'Оценка сложности задач'!$G$2)+(IF(C27='Оценка сложности задач'!$A$3,1,0)*IF(D27='Оценка сложности задач'!$B$3,1,0)*'Оценка сложности задач'!$G$3)+(IF(C27='Оценка сложности задач'!$A$4,1,0)*IF(D27='Оценка сложности задач'!$B$4,1,0)*'Оценка сложности задач'!$G$4)+(IF(C27='Оценка сложности задач'!$A$5,1,0)*IF(D27='Оценка сложности задач'!$B$5,1,0)*'Оценка сложности задач'!$G$5)+(IF(C27='Оценка сложности задач'!$A$6,1,0)*IF(D27='Оценка сложности задач'!$B$6,1,0)*'Оценка сложности задач'!$G$6)+(IF(C27='Оценка сложности задач'!$A$7,1,0)*IF(D27='Оценка сложности задач'!$B$7,1,0)*'Оценка сложности задач'!$G$7)+(IF(C27='Оценка сложности задач'!$A$8,1,0)*IF(D27='Оценка сложности задач'!$B$8,1,0)*'Оценка сложности задач'!$G$8)+(IF(C27='Оценка сложности задач'!$A$10,1,0)*IF(D27='Оценка сложности задач'!$B$10,1,0)*'Оценка сложности задач'!$G$10)+(IF(C27='Оценка сложности задач'!$A$9,1,0)*IF(D27='Оценка сложности задач'!$B$9,1,0)*'Оценка сложности задач'!$G$9)+ (IF(C27='Оценка сложности задач'!$A$11,1,0)*IF(D27='Оценка сложности задач'!$B$11,1,0)*'Оценка сложности задач'!$G$11) + (IF(C27='Оценка сложности задач'!$A$12,1,0)*IF(D27='Оценка сложности задач'!$B$12,1,0)*'Оценка сложности задач'!$G$12) + (IF(C27='Оценка сложности задач'!$A$13,1,0)*IF(D27='Оценка сложности задач'!$B$13,1,0)*'Оценка сложности задач'!$G$13) + (IF(C27='Оценка сложности задач'!$A$14,1,0)*IF(D27='Оценка сложности задач'!$B$14,1,0)*'Оценка сложности задач'!$G$14) + (IF(C27='Оценка сложности задач'!$A$15,1,0)*IF(D27='Оценка сложности задач'!$B$15,1,0)*'Оценка сложности задач'!$G$15) + (IF(C27='Оценка сложности задач'!$A$16,1,0)*IF(D27='Оценка сложности задач'!$B$16,1,0)*'Оценка сложности задач'!$G$16) + (IF(C27='Оценка сложности задач'!$A$17,1,0)*IF(D27='Оценка сложности задач'!$B$17,1,0)*'Оценка сложности задач'!$G$17) + (IF(C27='Оценка сложности задач'!$A$18,1,0)*IF(D27='Оценка сложности задач'!$B$18,1,0)*'Оценка сложности задач'!$G$18) + (IF(C27='Оценка сложности задач'!$A$19,1,0)*IF(D27='Оценка сложности задач'!$B$19,1,0)*'Оценка сложности задач'!$G$19)+(IF(C27='Оценка сложности задач'!$A$20,1,0)*IF(D27='Оценка сложности задач'!$B$20,1,0)*'Оценка сложности задач'!$G$20)+(IF(C27='Оценка сложности задач'!$A$21,1,0)*IF(D27='Оценка сложности задач'!$B$21,1,0)*'Оценка сложности задач'!$G$21)+(IF(C27='Оценка сложности задач'!$A$22,1,0)*IF(D27='Оценка сложности задач'!$B$22,1,0)*'Оценка сложности задач'!$G$22)+(IF(C27='Оценка сложности задач'!$A$23,1,0)*IF(D27='Оценка сложности задач'!$B$23,1,0)*'Оценка сложности задач'!$G$23)+(IF(C27='Оценка сложности задач'!$A$24,1,0)*IF(D27='Оценка сложности задач'!$B$24,1,0)*'Оценка сложности задач'!$G$24)+(IF(C27='Оценка сложности задач'!$A$25,1,0)*IF(D27='Оценка сложности задач'!$B$25,1,0)*'Оценка сложности задач'!$G$25)+(IF(C27='Оценка сложности задач'!$A$26,1,0)*IF(D27='Оценка сложности задач'!$B$26,1,0)*'Оценка сложности задач'!$G$26)+(IF(C27='Оценка сложности задач'!$A$27,1,0)*IF(D27='Оценка сложности задач'!$B$27,1,0)*'Оценка сложности задач'!$G$27)+(IF(C27='Оценка сложности задач'!$A$28,1,0)*IF(D27='Оценка сложности задач'!$B$28,1,0)*'Оценка сложности задач'!$G$28)+(IF(C27='Оценка сложности задач'!$A$29,1,0)*IF(D27='Оценка сложности задач'!$B$29,1,0)*'Оценка сложности задач'!$G$29)+(IF(C27='Оценка сложности задач'!$A$30,1,0)*IF(D27='Оценка сложности задач'!$B$30,1,0)*'Оценка сложности задач'!$G$30)+(IF(C27='Оценка сложности задач'!$A$31,1,0)*IF(D27='Оценка сложности задач'!$B$31,1,0)*'Оценка сложности задач'!$G$31)+(IF(C27='Оценка сложности задач'!$A$32,1,0)*IF(D27='Оценка сложности задач'!$B$32,1,0)*'Оценка сложности задач'!$G$32)+(IF(C27='Оценка сложности задач'!$A$33,1,0)*IF(D27='Оценка сложности задач'!$B$33,1,0)*'Оценка сложности задач'!$G$33)+(IF(C27='Оценка сложности задач'!$A$34,1,0)*IF(D27='Оценка сложности задач'!$B$34,1,0)*'Оценка сложности задач'!$G$34)+(IF(C27='Оценка сложности задач'!$A$35,1,0)*IF(D27='Оценка сложности задач'!$B$35,1,0)*'Оценка сложности задач'!$G$35)+(IF(C27='Оценка сложности задач'!$A$36,1,0)*IF(D27='Оценка сложности задач'!$B$36,1,0)*'Оценка сложности задач'!$G$36)+(IF(C27='Оценка сложности задач'!$A$37,1,0)*IF(D27='Оценка сложности задач'!$B$37,1,0)*'Оценка сложности задач'!$G$37)+(IF(C27='Оценка сложности задач'!$A$38,1,0)*IF(D27='Оценка сложности задач'!$B$38,1,0)*'Оценка сложности задач'!$G$38)+(IF(C27='Оценка сложности задач'!$A$39,1,0)*IF(D27='Оценка сложности задач'!$B$39,1,0)*'Оценка сложности задач'!$G$39)+(IF(C27='Оценка сложности задач'!$A$40,1,0)*IF(D27='Оценка сложности задач'!$B$40,1,0)*'Оценка сложности задач'!$G$40)</f>
        <v>0</v>
      </c>
      <c r="F27" s="49"/>
    </row>
    <row r="28" spans="1:6" x14ac:dyDescent="0.35">
      <c r="A28" s="54" t="s">
        <v>53</v>
      </c>
      <c r="B28" s="50"/>
      <c r="C28" s="56"/>
      <c r="D28" s="56"/>
      <c r="E28" s="56">
        <f>(IF(C28='Оценка сложности задач'!$A$2,1,0)*IF(D28='Оценка сложности задач'!$B$2,1,0)*'Оценка сложности задач'!$G$2)+(IF(C28='Оценка сложности задач'!$A$3,1,0)*IF(D28='Оценка сложности задач'!$B$3,1,0)*'Оценка сложности задач'!$G$3)+(IF(C28='Оценка сложности задач'!$A$4,1,0)*IF(D28='Оценка сложности задач'!$B$4,1,0)*'Оценка сложности задач'!$G$4)+(IF(C28='Оценка сложности задач'!$A$5,1,0)*IF(D28='Оценка сложности задач'!$B$5,1,0)*'Оценка сложности задач'!$G$5)+(IF(C28='Оценка сложности задач'!$A$6,1,0)*IF(D28='Оценка сложности задач'!$B$6,1,0)*'Оценка сложности задач'!$G$6)+(IF(C28='Оценка сложности задач'!$A$7,1,0)*IF(D28='Оценка сложности задач'!$B$7,1,0)*'Оценка сложности задач'!$G$7)+(IF(C28='Оценка сложности задач'!$A$8,1,0)*IF(D28='Оценка сложности задач'!$B$8,1,0)*'Оценка сложности задач'!$G$8)+(IF(C28='Оценка сложности задач'!$A$10,1,0)*IF(D28='Оценка сложности задач'!$B$10,1,0)*'Оценка сложности задач'!$G$10)+(IF(C28='Оценка сложности задач'!$A$9,1,0)*IF(D28='Оценка сложности задач'!$B$9,1,0)*'Оценка сложности задач'!$G$9)+ (IF(C28='Оценка сложности задач'!$A$11,1,0)*IF(D28='Оценка сложности задач'!$B$11,1,0)*'Оценка сложности задач'!$G$11) + (IF(C28='Оценка сложности задач'!$A$12,1,0)*IF(D28='Оценка сложности задач'!$B$12,1,0)*'Оценка сложности задач'!$G$12) + (IF(C28='Оценка сложности задач'!$A$13,1,0)*IF(D28='Оценка сложности задач'!$B$13,1,0)*'Оценка сложности задач'!$G$13) + (IF(C28='Оценка сложности задач'!$A$14,1,0)*IF(D28='Оценка сложности задач'!$B$14,1,0)*'Оценка сложности задач'!$G$14) + (IF(C28='Оценка сложности задач'!$A$15,1,0)*IF(D28='Оценка сложности задач'!$B$15,1,0)*'Оценка сложности задач'!$G$15) + (IF(C28='Оценка сложности задач'!$A$16,1,0)*IF(D28='Оценка сложности задач'!$B$16,1,0)*'Оценка сложности задач'!$G$16) + (IF(C28='Оценка сложности задач'!$A$17,1,0)*IF(D28='Оценка сложности задач'!$B$17,1,0)*'Оценка сложности задач'!$G$17) + (IF(C28='Оценка сложности задач'!$A$18,1,0)*IF(D28='Оценка сложности задач'!$B$18,1,0)*'Оценка сложности задач'!$G$18) + (IF(C28='Оценка сложности задач'!$A$19,1,0)*IF(D28='Оценка сложности задач'!$B$19,1,0)*'Оценка сложности задач'!$G$19)+(IF(C28='Оценка сложности задач'!$A$20,1,0)*IF(D28='Оценка сложности задач'!$B$20,1,0)*'Оценка сложности задач'!$G$20)+(IF(C28='Оценка сложности задач'!$A$21,1,0)*IF(D28='Оценка сложности задач'!$B$21,1,0)*'Оценка сложности задач'!$G$21)+(IF(C28='Оценка сложности задач'!$A$22,1,0)*IF(D28='Оценка сложности задач'!$B$22,1,0)*'Оценка сложности задач'!$G$22)+(IF(C28='Оценка сложности задач'!$A$23,1,0)*IF(D28='Оценка сложности задач'!$B$23,1,0)*'Оценка сложности задач'!$G$23)+(IF(C28='Оценка сложности задач'!$A$24,1,0)*IF(D28='Оценка сложности задач'!$B$24,1,0)*'Оценка сложности задач'!$G$24)+(IF(C28='Оценка сложности задач'!$A$25,1,0)*IF(D28='Оценка сложности задач'!$B$25,1,0)*'Оценка сложности задач'!$G$25)+(IF(C28='Оценка сложности задач'!$A$26,1,0)*IF(D28='Оценка сложности задач'!$B$26,1,0)*'Оценка сложности задач'!$G$26)+(IF(C28='Оценка сложности задач'!$A$27,1,0)*IF(D28='Оценка сложности задач'!$B$27,1,0)*'Оценка сложности задач'!$G$27)+(IF(C28='Оценка сложности задач'!$A$28,1,0)*IF(D28='Оценка сложности задач'!$B$28,1,0)*'Оценка сложности задач'!$G$28)+(IF(C28='Оценка сложности задач'!$A$29,1,0)*IF(D28='Оценка сложности задач'!$B$29,1,0)*'Оценка сложности задач'!$G$29)+(IF(C28='Оценка сложности задач'!$A$30,1,0)*IF(D28='Оценка сложности задач'!$B$30,1,0)*'Оценка сложности задач'!$G$30)+(IF(C28='Оценка сложности задач'!$A$31,1,0)*IF(D28='Оценка сложности задач'!$B$31,1,0)*'Оценка сложности задач'!$G$31)+(IF(C28='Оценка сложности задач'!$A$32,1,0)*IF(D28='Оценка сложности задач'!$B$32,1,0)*'Оценка сложности задач'!$G$32)+(IF(C28='Оценка сложности задач'!$A$33,1,0)*IF(D28='Оценка сложности задач'!$B$33,1,0)*'Оценка сложности задач'!$G$33)+(IF(C28='Оценка сложности задач'!$A$34,1,0)*IF(D28='Оценка сложности задач'!$B$34,1,0)*'Оценка сложности задач'!$G$34)+(IF(C28='Оценка сложности задач'!$A$35,1,0)*IF(D28='Оценка сложности задач'!$B$35,1,0)*'Оценка сложности задач'!$G$35)+(IF(C28='Оценка сложности задач'!$A$36,1,0)*IF(D28='Оценка сложности задач'!$B$36,1,0)*'Оценка сложности задач'!$G$36)+(IF(C28='Оценка сложности задач'!$A$37,1,0)*IF(D28='Оценка сложности задач'!$B$37,1,0)*'Оценка сложности задач'!$G$37)+(IF(C28='Оценка сложности задач'!$A$38,1,0)*IF(D28='Оценка сложности задач'!$B$38,1,0)*'Оценка сложности задач'!$G$38)+(IF(C28='Оценка сложности задач'!$A$39,1,0)*IF(D28='Оценка сложности задач'!$B$39,1,0)*'Оценка сложности задач'!$G$39)+(IF(C28='Оценка сложности задач'!$A$40,1,0)*IF(D28='Оценка сложности задач'!$B$40,1,0)*'Оценка сложности задач'!$G$40)</f>
        <v>0</v>
      </c>
      <c r="F28" s="49"/>
    </row>
    <row r="29" spans="1:6" x14ac:dyDescent="0.35">
      <c r="A29" s="54" t="s">
        <v>54</v>
      </c>
      <c r="B29" s="50"/>
      <c r="C29" s="56"/>
      <c r="D29" s="56"/>
      <c r="E29" s="56">
        <f>(IF(C29='Оценка сложности задач'!$A$2,1,0)*IF(D29='Оценка сложности задач'!$B$2,1,0)*'Оценка сложности задач'!$G$2)+(IF(C29='Оценка сложности задач'!$A$3,1,0)*IF(D29='Оценка сложности задач'!$B$3,1,0)*'Оценка сложности задач'!$G$3)+(IF(C29='Оценка сложности задач'!$A$4,1,0)*IF(D29='Оценка сложности задач'!$B$4,1,0)*'Оценка сложности задач'!$G$4)+(IF(C29='Оценка сложности задач'!$A$5,1,0)*IF(D29='Оценка сложности задач'!$B$5,1,0)*'Оценка сложности задач'!$G$5)+(IF(C29='Оценка сложности задач'!$A$6,1,0)*IF(D29='Оценка сложности задач'!$B$6,1,0)*'Оценка сложности задач'!$G$6)+(IF(C29='Оценка сложности задач'!$A$7,1,0)*IF(D29='Оценка сложности задач'!$B$7,1,0)*'Оценка сложности задач'!$G$7)+(IF(C29='Оценка сложности задач'!$A$8,1,0)*IF(D29='Оценка сложности задач'!$B$8,1,0)*'Оценка сложности задач'!$G$8)+(IF(C29='Оценка сложности задач'!$A$10,1,0)*IF(D29='Оценка сложности задач'!$B$10,1,0)*'Оценка сложности задач'!$G$10)+(IF(C29='Оценка сложности задач'!$A$9,1,0)*IF(D29='Оценка сложности задач'!$B$9,1,0)*'Оценка сложности задач'!$G$9)+ (IF(C29='Оценка сложности задач'!$A$11,1,0)*IF(D29='Оценка сложности задач'!$B$11,1,0)*'Оценка сложности задач'!$G$11) + (IF(C29='Оценка сложности задач'!$A$12,1,0)*IF(D29='Оценка сложности задач'!$B$12,1,0)*'Оценка сложности задач'!$G$12) + (IF(C29='Оценка сложности задач'!$A$13,1,0)*IF(D29='Оценка сложности задач'!$B$13,1,0)*'Оценка сложности задач'!$G$13) + (IF(C29='Оценка сложности задач'!$A$14,1,0)*IF(D29='Оценка сложности задач'!$B$14,1,0)*'Оценка сложности задач'!$G$14) + (IF(C29='Оценка сложности задач'!$A$15,1,0)*IF(D29='Оценка сложности задач'!$B$15,1,0)*'Оценка сложности задач'!$G$15) + (IF(C29='Оценка сложности задач'!$A$16,1,0)*IF(D29='Оценка сложности задач'!$B$16,1,0)*'Оценка сложности задач'!$G$16) + (IF(C29='Оценка сложности задач'!$A$17,1,0)*IF(D29='Оценка сложности задач'!$B$17,1,0)*'Оценка сложности задач'!$G$17) + (IF(C29='Оценка сложности задач'!$A$18,1,0)*IF(D29='Оценка сложности задач'!$B$18,1,0)*'Оценка сложности задач'!$G$18) + (IF(C29='Оценка сложности задач'!$A$19,1,0)*IF(D29='Оценка сложности задач'!$B$19,1,0)*'Оценка сложности задач'!$G$19)+(IF(C29='Оценка сложности задач'!$A$20,1,0)*IF(D29='Оценка сложности задач'!$B$20,1,0)*'Оценка сложности задач'!$G$20)+(IF(C29='Оценка сложности задач'!$A$21,1,0)*IF(D29='Оценка сложности задач'!$B$21,1,0)*'Оценка сложности задач'!$G$21)+(IF(C29='Оценка сложности задач'!$A$22,1,0)*IF(D29='Оценка сложности задач'!$B$22,1,0)*'Оценка сложности задач'!$G$22)+(IF(C29='Оценка сложности задач'!$A$23,1,0)*IF(D29='Оценка сложности задач'!$B$23,1,0)*'Оценка сложности задач'!$G$23)+(IF(C29='Оценка сложности задач'!$A$24,1,0)*IF(D29='Оценка сложности задач'!$B$24,1,0)*'Оценка сложности задач'!$G$24)+(IF(C29='Оценка сложности задач'!$A$25,1,0)*IF(D29='Оценка сложности задач'!$B$25,1,0)*'Оценка сложности задач'!$G$25)+(IF(C29='Оценка сложности задач'!$A$26,1,0)*IF(D29='Оценка сложности задач'!$B$26,1,0)*'Оценка сложности задач'!$G$26)+(IF(C29='Оценка сложности задач'!$A$27,1,0)*IF(D29='Оценка сложности задач'!$B$27,1,0)*'Оценка сложности задач'!$G$27)+(IF(C29='Оценка сложности задач'!$A$28,1,0)*IF(D29='Оценка сложности задач'!$B$28,1,0)*'Оценка сложности задач'!$G$28)+(IF(C29='Оценка сложности задач'!$A$29,1,0)*IF(D29='Оценка сложности задач'!$B$29,1,0)*'Оценка сложности задач'!$G$29)+(IF(C29='Оценка сложности задач'!$A$30,1,0)*IF(D29='Оценка сложности задач'!$B$30,1,0)*'Оценка сложности задач'!$G$30)+(IF(C29='Оценка сложности задач'!$A$31,1,0)*IF(D29='Оценка сложности задач'!$B$31,1,0)*'Оценка сложности задач'!$G$31)+(IF(C29='Оценка сложности задач'!$A$32,1,0)*IF(D29='Оценка сложности задач'!$B$32,1,0)*'Оценка сложности задач'!$G$32)+(IF(C29='Оценка сложности задач'!$A$33,1,0)*IF(D29='Оценка сложности задач'!$B$33,1,0)*'Оценка сложности задач'!$G$33)+(IF(C29='Оценка сложности задач'!$A$34,1,0)*IF(D29='Оценка сложности задач'!$B$34,1,0)*'Оценка сложности задач'!$G$34)+(IF(C29='Оценка сложности задач'!$A$35,1,0)*IF(D29='Оценка сложности задач'!$B$35,1,0)*'Оценка сложности задач'!$G$35)+(IF(C29='Оценка сложности задач'!$A$36,1,0)*IF(D29='Оценка сложности задач'!$B$36,1,0)*'Оценка сложности задач'!$G$36)+(IF(C29='Оценка сложности задач'!$A$37,1,0)*IF(D29='Оценка сложности задач'!$B$37,1,0)*'Оценка сложности задач'!$G$37)+(IF(C29='Оценка сложности задач'!$A$38,1,0)*IF(D29='Оценка сложности задач'!$B$38,1,0)*'Оценка сложности задач'!$G$38)+(IF(C29='Оценка сложности задач'!$A$39,1,0)*IF(D29='Оценка сложности задач'!$B$39,1,0)*'Оценка сложности задач'!$G$39)+(IF(C29='Оценка сложности задач'!$A$40,1,0)*IF(D29='Оценка сложности задач'!$B$40,1,0)*'Оценка сложности задач'!$G$40)</f>
        <v>0</v>
      </c>
      <c r="F29" s="49"/>
    </row>
    <row r="30" spans="1:6" x14ac:dyDescent="0.35">
      <c r="A30" s="54" t="s">
        <v>55</v>
      </c>
      <c r="B30" s="50"/>
      <c r="C30" s="56"/>
      <c r="D30" s="56"/>
      <c r="E30" s="56">
        <f>(IF(C30='Оценка сложности задач'!$A$2,1,0)*IF(D30='Оценка сложности задач'!$B$2,1,0)*'Оценка сложности задач'!$G$2)+(IF(C30='Оценка сложности задач'!$A$3,1,0)*IF(D30='Оценка сложности задач'!$B$3,1,0)*'Оценка сложности задач'!$G$3)+(IF(C30='Оценка сложности задач'!$A$4,1,0)*IF(D30='Оценка сложности задач'!$B$4,1,0)*'Оценка сложности задач'!$G$4)+(IF(C30='Оценка сложности задач'!$A$5,1,0)*IF(D30='Оценка сложности задач'!$B$5,1,0)*'Оценка сложности задач'!$G$5)+(IF(C30='Оценка сложности задач'!$A$6,1,0)*IF(D30='Оценка сложности задач'!$B$6,1,0)*'Оценка сложности задач'!$G$6)+(IF(C30='Оценка сложности задач'!$A$7,1,0)*IF(D30='Оценка сложности задач'!$B$7,1,0)*'Оценка сложности задач'!$G$7)+(IF(C30='Оценка сложности задач'!$A$8,1,0)*IF(D30='Оценка сложности задач'!$B$8,1,0)*'Оценка сложности задач'!$G$8)+(IF(C30='Оценка сложности задач'!$A$10,1,0)*IF(D30='Оценка сложности задач'!$B$10,1,0)*'Оценка сложности задач'!$G$10)+(IF(C30='Оценка сложности задач'!$A$9,1,0)*IF(D30='Оценка сложности задач'!$B$9,1,0)*'Оценка сложности задач'!$G$9)+ (IF(C30='Оценка сложности задач'!$A$11,1,0)*IF(D30='Оценка сложности задач'!$B$11,1,0)*'Оценка сложности задач'!$G$11) + (IF(C30='Оценка сложности задач'!$A$12,1,0)*IF(D30='Оценка сложности задач'!$B$12,1,0)*'Оценка сложности задач'!$G$12) + (IF(C30='Оценка сложности задач'!$A$13,1,0)*IF(D30='Оценка сложности задач'!$B$13,1,0)*'Оценка сложности задач'!$G$13) + (IF(C30='Оценка сложности задач'!$A$14,1,0)*IF(D30='Оценка сложности задач'!$B$14,1,0)*'Оценка сложности задач'!$G$14) + (IF(C30='Оценка сложности задач'!$A$15,1,0)*IF(D30='Оценка сложности задач'!$B$15,1,0)*'Оценка сложности задач'!$G$15) + (IF(C30='Оценка сложности задач'!$A$16,1,0)*IF(D30='Оценка сложности задач'!$B$16,1,0)*'Оценка сложности задач'!$G$16) + (IF(C30='Оценка сложности задач'!$A$17,1,0)*IF(D30='Оценка сложности задач'!$B$17,1,0)*'Оценка сложности задач'!$G$17) + (IF(C30='Оценка сложности задач'!$A$18,1,0)*IF(D30='Оценка сложности задач'!$B$18,1,0)*'Оценка сложности задач'!$G$18) + (IF(C30='Оценка сложности задач'!$A$19,1,0)*IF(D30='Оценка сложности задач'!$B$19,1,0)*'Оценка сложности задач'!$G$19)+(IF(C30='Оценка сложности задач'!$A$20,1,0)*IF(D30='Оценка сложности задач'!$B$20,1,0)*'Оценка сложности задач'!$G$20)+(IF(C30='Оценка сложности задач'!$A$21,1,0)*IF(D30='Оценка сложности задач'!$B$21,1,0)*'Оценка сложности задач'!$G$21)+(IF(C30='Оценка сложности задач'!$A$22,1,0)*IF(D30='Оценка сложности задач'!$B$22,1,0)*'Оценка сложности задач'!$G$22)+(IF(C30='Оценка сложности задач'!$A$23,1,0)*IF(D30='Оценка сложности задач'!$B$23,1,0)*'Оценка сложности задач'!$G$23)+(IF(C30='Оценка сложности задач'!$A$24,1,0)*IF(D30='Оценка сложности задач'!$B$24,1,0)*'Оценка сложности задач'!$G$24)+(IF(C30='Оценка сложности задач'!$A$25,1,0)*IF(D30='Оценка сложности задач'!$B$25,1,0)*'Оценка сложности задач'!$G$25)+(IF(C30='Оценка сложности задач'!$A$26,1,0)*IF(D30='Оценка сложности задач'!$B$26,1,0)*'Оценка сложности задач'!$G$26)+(IF(C30='Оценка сложности задач'!$A$27,1,0)*IF(D30='Оценка сложности задач'!$B$27,1,0)*'Оценка сложности задач'!$G$27)+(IF(C30='Оценка сложности задач'!$A$28,1,0)*IF(D30='Оценка сложности задач'!$B$28,1,0)*'Оценка сложности задач'!$G$28)+(IF(C30='Оценка сложности задач'!$A$29,1,0)*IF(D30='Оценка сложности задач'!$B$29,1,0)*'Оценка сложности задач'!$G$29)+(IF(C30='Оценка сложности задач'!$A$30,1,0)*IF(D30='Оценка сложности задач'!$B$30,1,0)*'Оценка сложности задач'!$G$30)+(IF(C30='Оценка сложности задач'!$A$31,1,0)*IF(D30='Оценка сложности задач'!$B$31,1,0)*'Оценка сложности задач'!$G$31)+(IF(C30='Оценка сложности задач'!$A$32,1,0)*IF(D30='Оценка сложности задач'!$B$32,1,0)*'Оценка сложности задач'!$G$32)+(IF(C30='Оценка сложности задач'!$A$33,1,0)*IF(D30='Оценка сложности задач'!$B$33,1,0)*'Оценка сложности задач'!$G$33)+(IF(C30='Оценка сложности задач'!$A$34,1,0)*IF(D30='Оценка сложности задач'!$B$34,1,0)*'Оценка сложности задач'!$G$34)+(IF(C30='Оценка сложности задач'!$A$35,1,0)*IF(D30='Оценка сложности задач'!$B$35,1,0)*'Оценка сложности задач'!$G$35)+(IF(C30='Оценка сложности задач'!$A$36,1,0)*IF(D30='Оценка сложности задач'!$B$36,1,0)*'Оценка сложности задач'!$G$36)+(IF(C30='Оценка сложности задач'!$A$37,1,0)*IF(D30='Оценка сложности задач'!$B$37,1,0)*'Оценка сложности задач'!$G$37)+(IF(C30='Оценка сложности задач'!$A$38,1,0)*IF(D30='Оценка сложности задач'!$B$38,1,0)*'Оценка сложности задач'!$G$38)+(IF(C30='Оценка сложности задач'!$A$39,1,0)*IF(D30='Оценка сложности задач'!$B$39,1,0)*'Оценка сложности задач'!$G$39)+(IF(C30='Оценка сложности задач'!$A$40,1,0)*IF(D30='Оценка сложности задач'!$B$40,1,0)*'Оценка сложности задач'!$G$40)</f>
        <v>0</v>
      </c>
      <c r="F30" s="49"/>
    </row>
    <row r="31" spans="1:6" x14ac:dyDescent="0.35">
      <c r="A31" s="54" t="s">
        <v>56</v>
      </c>
      <c r="B31" s="50"/>
      <c r="C31" s="56"/>
      <c r="D31" s="56"/>
      <c r="E31" s="56">
        <f>(IF(C31='Оценка сложности задач'!$A$2,1,0)*IF(D31='Оценка сложности задач'!$B$2,1,0)*'Оценка сложности задач'!$G$2)+(IF(C31='Оценка сложности задач'!$A$3,1,0)*IF(D31='Оценка сложности задач'!$B$3,1,0)*'Оценка сложности задач'!$G$3)+(IF(C31='Оценка сложности задач'!$A$4,1,0)*IF(D31='Оценка сложности задач'!$B$4,1,0)*'Оценка сложности задач'!$G$4)+(IF(C31='Оценка сложности задач'!$A$5,1,0)*IF(D31='Оценка сложности задач'!$B$5,1,0)*'Оценка сложности задач'!$G$5)+(IF(C31='Оценка сложности задач'!$A$6,1,0)*IF(D31='Оценка сложности задач'!$B$6,1,0)*'Оценка сложности задач'!$G$6)+(IF(C31='Оценка сложности задач'!$A$7,1,0)*IF(D31='Оценка сложности задач'!$B$7,1,0)*'Оценка сложности задач'!$G$7)+(IF(C31='Оценка сложности задач'!$A$8,1,0)*IF(D31='Оценка сложности задач'!$B$8,1,0)*'Оценка сложности задач'!$G$8)+(IF(C31='Оценка сложности задач'!$A$10,1,0)*IF(D31='Оценка сложности задач'!$B$10,1,0)*'Оценка сложности задач'!$G$10)+(IF(C31='Оценка сложности задач'!$A$9,1,0)*IF(D31='Оценка сложности задач'!$B$9,1,0)*'Оценка сложности задач'!$G$9)+ (IF(C31='Оценка сложности задач'!$A$11,1,0)*IF(D31='Оценка сложности задач'!$B$11,1,0)*'Оценка сложности задач'!$G$11) + (IF(C31='Оценка сложности задач'!$A$12,1,0)*IF(D31='Оценка сложности задач'!$B$12,1,0)*'Оценка сложности задач'!$G$12) + (IF(C31='Оценка сложности задач'!$A$13,1,0)*IF(D31='Оценка сложности задач'!$B$13,1,0)*'Оценка сложности задач'!$G$13) + (IF(C31='Оценка сложности задач'!$A$14,1,0)*IF(D31='Оценка сложности задач'!$B$14,1,0)*'Оценка сложности задач'!$G$14) + (IF(C31='Оценка сложности задач'!$A$15,1,0)*IF(D31='Оценка сложности задач'!$B$15,1,0)*'Оценка сложности задач'!$G$15) + (IF(C31='Оценка сложности задач'!$A$16,1,0)*IF(D31='Оценка сложности задач'!$B$16,1,0)*'Оценка сложности задач'!$G$16) + (IF(C31='Оценка сложности задач'!$A$17,1,0)*IF(D31='Оценка сложности задач'!$B$17,1,0)*'Оценка сложности задач'!$G$17) + (IF(C31='Оценка сложности задач'!$A$18,1,0)*IF(D31='Оценка сложности задач'!$B$18,1,0)*'Оценка сложности задач'!$G$18) + (IF(C31='Оценка сложности задач'!$A$19,1,0)*IF(D31='Оценка сложности задач'!$B$19,1,0)*'Оценка сложности задач'!$G$19)+(IF(C31='Оценка сложности задач'!$A$20,1,0)*IF(D31='Оценка сложности задач'!$B$20,1,0)*'Оценка сложности задач'!$G$20)+(IF(C31='Оценка сложности задач'!$A$21,1,0)*IF(D31='Оценка сложности задач'!$B$21,1,0)*'Оценка сложности задач'!$G$21)+(IF(C31='Оценка сложности задач'!$A$22,1,0)*IF(D31='Оценка сложности задач'!$B$22,1,0)*'Оценка сложности задач'!$G$22)+(IF(C31='Оценка сложности задач'!$A$23,1,0)*IF(D31='Оценка сложности задач'!$B$23,1,0)*'Оценка сложности задач'!$G$23)+(IF(C31='Оценка сложности задач'!$A$24,1,0)*IF(D31='Оценка сложности задач'!$B$24,1,0)*'Оценка сложности задач'!$G$24)+(IF(C31='Оценка сложности задач'!$A$25,1,0)*IF(D31='Оценка сложности задач'!$B$25,1,0)*'Оценка сложности задач'!$G$25)+(IF(C31='Оценка сложности задач'!$A$26,1,0)*IF(D31='Оценка сложности задач'!$B$26,1,0)*'Оценка сложности задач'!$G$26)+(IF(C31='Оценка сложности задач'!$A$27,1,0)*IF(D31='Оценка сложности задач'!$B$27,1,0)*'Оценка сложности задач'!$G$27)+(IF(C31='Оценка сложности задач'!$A$28,1,0)*IF(D31='Оценка сложности задач'!$B$28,1,0)*'Оценка сложности задач'!$G$28)+(IF(C31='Оценка сложности задач'!$A$29,1,0)*IF(D31='Оценка сложности задач'!$B$29,1,0)*'Оценка сложности задач'!$G$29)+(IF(C31='Оценка сложности задач'!$A$30,1,0)*IF(D31='Оценка сложности задач'!$B$30,1,0)*'Оценка сложности задач'!$G$30)+(IF(C31='Оценка сложности задач'!$A$31,1,0)*IF(D31='Оценка сложности задач'!$B$31,1,0)*'Оценка сложности задач'!$G$31)+(IF(C31='Оценка сложности задач'!$A$32,1,0)*IF(D31='Оценка сложности задач'!$B$32,1,0)*'Оценка сложности задач'!$G$32)+(IF(C31='Оценка сложности задач'!$A$33,1,0)*IF(D31='Оценка сложности задач'!$B$33,1,0)*'Оценка сложности задач'!$G$33)+(IF(C31='Оценка сложности задач'!$A$34,1,0)*IF(D31='Оценка сложности задач'!$B$34,1,0)*'Оценка сложности задач'!$G$34)+(IF(C31='Оценка сложности задач'!$A$35,1,0)*IF(D31='Оценка сложности задач'!$B$35,1,0)*'Оценка сложности задач'!$G$35)+(IF(C31='Оценка сложности задач'!$A$36,1,0)*IF(D31='Оценка сложности задач'!$B$36,1,0)*'Оценка сложности задач'!$G$36)+(IF(C31='Оценка сложности задач'!$A$37,1,0)*IF(D31='Оценка сложности задач'!$B$37,1,0)*'Оценка сложности задач'!$G$37)+(IF(C31='Оценка сложности задач'!$A$38,1,0)*IF(D31='Оценка сложности задач'!$B$38,1,0)*'Оценка сложности задач'!$G$38)+(IF(C31='Оценка сложности задач'!$A$39,1,0)*IF(D31='Оценка сложности задач'!$B$39,1,0)*'Оценка сложности задач'!$G$39)+(IF(C31='Оценка сложности задач'!$A$40,1,0)*IF(D31='Оценка сложности задач'!$B$40,1,0)*'Оценка сложности задач'!$G$40)</f>
        <v>0</v>
      </c>
      <c r="F31" s="49"/>
    </row>
    <row r="32" spans="1:6" x14ac:dyDescent="0.35">
      <c r="A32" s="54" t="s">
        <v>57</v>
      </c>
      <c r="B32" s="50"/>
      <c r="C32" s="56"/>
      <c r="D32" s="56"/>
      <c r="E32" s="56">
        <f>(IF(C32='Оценка сложности задач'!$A$2,1,0)*IF(D32='Оценка сложности задач'!$B$2,1,0)*'Оценка сложности задач'!$G$2)+(IF(C32='Оценка сложности задач'!$A$3,1,0)*IF(D32='Оценка сложности задач'!$B$3,1,0)*'Оценка сложности задач'!$G$3)+(IF(C32='Оценка сложности задач'!$A$4,1,0)*IF(D32='Оценка сложности задач'!$B$4,1,0)*'Оценка сложности задач'!$G$4)+(IF(C32='Оценка сложности задач'!$A$5,1,0)*IF(D32='Оценка сложности задач'!$B$5,1,0)*'Оценка сложности задач'!$G$5)+(IF(C32='Оценка сложности задач'!$A$6,1,0)*IF(D32='Оценка сложности задач'!$B$6,1,0)*'Оценка сложности задач'!$G$6)+(IF(C32='Оценка сложности задач'!$A$7,1,0)*IF(D32='Оценка сложности задач'!$B$7,1,0)*'Оценка сложности задач'!$G$7)+(IF(C32='Оценка сложности задач'!$A$8,1,0)*IF(D32='Оценка сложности задач'!$B$8,1,0)*'Оценка сложности задач'!$G$8)+(IF(C32='Оценка сложности задач'!$A$10,1,0)*IF(D32='Оценка сложности задач'!$B$10,1,0)*'Оценка сложности задач'!$G$10)+(IF(C32='Оценка сложности задач'!$A$9,1,0)*IF(D32='Оценка сложности задач'!$B$9,1,0)*'Оценка сложности задач'!$G$9)+ (IF(C32='Оценка сложности задач'!$A$11,1,0)*IF(D32='Оценка сложности задач'!$B$11,1,0)*'Оценка сложности задач'!$G$11) + (IF(C32='Оценка сложности задач'!$A$12,1,0)*IF(D32='Оценка сложности задач'!$B$12,1,0)*'Оценка сложности задач'!$G$12) + (IF(C32='Оценка сложности задач'!$A$13,1,0)*IF(D32='Оценка сложности задач'!$B$13,1,0)*'Оценка сложности задач'!$G$13) + (IF(C32='Оценка сложности задач'!$A$14,1,0)*IF(D32='Оценка сложности задач'!$B$14,1,0)*'Оценка сложности задач'!$G$14) + (IF(C32='Оценка сложности задач'!$A$15,1,0)*IF(D32='Оценка сложности задач'!$B$15,1,0)*'Оценка сложности задач'!$G$15) + (IF(C32='Оценка сложности задач'!$A$16,1,0)*IF(D32='Оценка сложности задач'!$B$16,1,0)*'Оценка сложности задач'!$G$16) + (IF(C32='Оценка сложности задач'!$A$17,1,0)*IF(D32='Оценка сложности задач'!$B$17,1,0)*'Оценка сложности задач'!$G$17) + (IF(C32='Оценка сложности задач'!$A$18,1,0)*IF(D32='Оценка сложности задач'!$B$18,1,0)*'Оценка сложности задач'!$G$18) + (IF(C32='Оценка сложности задач'!$A$19,1,0)*IF(D32='Оценка сложности задач'!$B$19,1,0)*'Оценка сложности задач'!$G$19)+(IF(C32='Оценка сложности задач'!$A$20,1,0)*IF(D32='Оценка сложности задач'!$B$20,1,0)*'Оценка сложности задач'!$G$20)+(IF(C32='Оценка сложности задач'!$A$21,1,0)*IF(D32='Оценка сложности задач'!$B$21,1,0)*'Оценка сложности задач'!$G$21)+(IF(C32='Оценка сложности задач'!$A$22,1,0)*IF(D32='Оценка сложности задач'!$B$22,1,0)*'Оценка сложности задач'!$G$22)+(IF(C32='Оценка сложности задач'!$A$23,1,0)*IF(D32='Оценка сложности задач'!$B$23,1,0)*'Оценка сложности задач'!$G$23)+(IF(C32='Оценка сложности задач'!$A$24,1,0)*IF(D32='Оценка сложности задач'!$B$24,1,0)*'Оценка сложности задач'!$G$24)+(IF(C32='Оценка сложности задач'!$A$25,1,0)*IF(D32='Оценка сложности задач'!$B$25,1,0)*'Оценка сложности задач'!$G$25)+(IF(C32='Оценка сложности задач'!$A$26,1,0)*IF(D32='Оценка сложности задач'!$B$26,1,0)*'Оценка сложности задач'!$G$26)+(IF(C32='Оценка сложности задач'!$A$27,1,0)*IF(D32='Оценка сложности задач'!$B$27,1,0)*'Оценка сложности задач'!$G$27)+(IF(C32='Оценка сложности задач'!$A$28,1,0)*IF(D32='Оценка сложности задач'!$B$28,1,0)*'Оценка сложности задач'!$G$28)+(IF(C32='Оценка сложности задач'!$A$29,1,0)*IF(D32='Оценка сложности задач'!$B$29,1,0)*'Оценка сложности задач'!$G$29)+(IF(C32='Оценка сложности задач'!$A$30,1,0)*IF(D32='Оценка сложности задач'!$B$30,1,0)*'Оценка сложности задач'!$G$30)+(IF(C32='Оценка сложности задач'!$A$31,1,0)*IF(D32='Оценка сложности задач'!$B$31,1,0)*'Оценка сложности задач'!$G$31)+(IF(C32='Оценка сложности задач'!$A$32,1,0)*IF(D32='Оценка сложности задач'!$B$32,1,0)*'Оценка сложности задач'!$G$32)+(IF(C32='Оценка сложности задач'!$A$33,1,0)*IF(D32='Оценка сложности задач'!$B$33,1,0)*'Оценка сложности задач'!$G$33)+(IF(C32='Оценка сложности задач'!$A$34,1,0)*IF(D32='Оценка сложности задач'!$B$34,1,0)*'Оценка сложности задач'!$G$34)+(IF(C32='Оценка сложности задач'!$A$35,1,0)*IF(D32='Оценка сложности задач'!$B$35,1,0)*'Оценка сложности задач'!$G$35)+(IF(C32='Оценка сложности задач'!$A$36,1,0)*IF(D32='Оценка сложности задач'!$B$36,1,0)*'Оценка сложности задач'!$G$36)+(IF(C32='Оценка сложности задач'!$A$37,1,0)*IF(D32='Оценка сложности задач'!$B$37,1,0)*'Оценка сложности задач'!$G$37)+(IF(C32='Оценка сложности задач'!$A$38,1,0)*IF(D32='Оценка сложности задач'!$B$38,1,0)*'Оценка сложности задач'!$G$38)+(IF(C32='Оценка сложности задач'!$A$39,1,0)*IF(D32='Оценка сложности задач'!$B$39,1,0)*'Оценка сложности задач'!$G$39)+(IF(C32='Оценка сложности задач'!$A$40,1,0)*IF(D32='Оценка сложности задач'!$B$40,1,0)*'Оценка сложности задач'!$G$40)</f>
        <v>0</v>
      </c>
      <c r="F32" s="49"/>
    </row>
    <row r="33" spans="1:6" x14ac:dyDescent="0.35">
      <c r="A33" s="54" t="s">
        <v>58</v>
      </c>
      <c r="B33" s="50"/>
      <c r="C33" s="56"/>
      <c r="D33" s="56"/>
      <c r="E33" s="56">
        <f>(IF(C33='Оценка сложности задач'!$A$2,1,0)*IF(D33='Оценка сложности задач'!$B$2,1,0)*'Оценка сложности задач'!$G$2)+(IF(C33='Оценка сложности задач'!$A$3,1,0)*IF(D33='Оценка сложности задач'!$B$3,1,0)*'Оценка сложности задач'!$G$3)+(IF(C33='Оценка сложности задач'!$A$4,1,0)*IF(D33='Оценка сложности задач'!$B$4,1,0)*'Оценка сложности задач'!$G$4)+(IF(C33='Оценка сложности задач'!$A$5,1,0)*IF(D33='Оценка сложности задач'!$B$5,1,0)*'Оценка сложности задач'!$G$5)+(IF(C33='Оценка сложности задач'!$A$6,1,0)*IF(D33='Оценка сложности задач'!$B$6,1,0)*'Оценка сложности задач'!$G$6)+(IF(C33='Оценка сложности задач'!$A$7,1,0)*IF(D33='Оценка сложности задач'!$B$7,1,0)*'Оценка сложности задач'!$G$7)+(IF(C33='Оценка сложности задач'!$A$8,1,0)*IF(D33='Оценка сложности задач'!$B$8,1,0)*'Оценка сложности задач'!$G$8)+(IF(C33='Оценка сложности задач'!$A$10,1,0)*IF(D33='Оценка сложности задач'!$B$10,1,0)*'Оценка сложности задач'!$G$10)+(IF(C33='Оценка сложности задач'!$A$9,1,0)*IF(D33='Оценка сложности задач'!$B$9,1,0)*'Оценка сложности задач'!$G$9)+ (IF(C33='Оценка сложности задач'!$A$11,1,0)*IF(D33='Оценка сложности задач'!$B$11,1,0)*'Оценка сложности задач'!$G$11) + (IF(C33='Оценка сложности задач'!$A$12,1,0)*IF(D33='Оценка сложности задач'!$B$12,1,0)*'Оценка сложности задач'!$G$12) + (IF(C33='Оценка сложности задач'!$A$13,1,0)*IF(D33='Оценка сложности задач'!$B$13,1,0)*'Оценка сложности задач'!$G$13) + (IF(C33='Оценка сложности задач'!$A$14,1,0)*IF(D33='Оценка сложности задач'!$B$14,1,0)*'Оценка сложности задач'!$G$14) + (IF(C33='Оценка сложности задач'!$A$15,1,0)*IF(D33='Оценка сложности задач'!$B$15,1,0)*'Оценка сложности задач'!$G$15) + (IF(C33='Оценка сложности задач'!$A$16,1,0)*IF(D33='Оценка сложности задач'!$B$16,1,0)*'Оценка сложности задач'!$G$16) + (IF(C33='Оценка сложности задач'!$A$17,1,0)*IF(D33='Оценка сложности задач'!$B$17,1,0)*'Оценка сложности задач'!$G$17) + (IF(C33='Оценка сложности задач'!$A$18,1,0)*IF(D33='Оценка сложности задач'!$B$18,1,0)*'Оценка сложности задач'!$G$18) + (IF(C33='Оценка сложности задач'!$A$19,1,0)*IF(D33='Оценка сложности задач'!$B$19,1,0)*'Оценка сложности задач'!$G$19)+(IF(C33='Оценка сложности задач'!$A$20,1,0)*IF(D33='Оценка сложности задач'!$B$20,1,0)*'Оценка сложности задач'!$G$20)+(IF(C33='Оценка сложности задач'!$A$21,1,0)*IF(D33='Оценка сложности задач'!$B$21,1,0)*'Оценка сложности задач'!$G$21)+(IF(C33='Оценка сложности задач'!$A$22,1,0)*IF(D33='Оценка сложности задач'!$B$22,1,0)*'Оценка сложности задач'!$G$22)+(IF(C33='Оценка сложности задач'!$A$23,1,0)*IF(D33='Оценка сложности задач'!$B$23,1,0)*'Оценка сложности задач'!$G$23)+(IF(C33='Оценка сложности задач'!$A$24,1,0)*IF(D33='Оценка сложности задач'!$B$24,1,0)*'Оценка сложности задач'!$G$24)+(IF(C33='Оценка сложности задач'!$A$25,1,0)*IF(D33='Оценка сложности задач'!$B$25,1,0)*'Оценка сложности задач'!$G$25)+(IF(C33='Оценка сложности задач'!$A$26,1,0)*IF(D33='Оценка сложности задач'!$B$26,1,0)*'Оценка сложности задач'!$G$26)+(IF(C33='Оценка сложности задач'!$A$27,1,0)*IF(D33='Оценка сложности задач'!$B$27,1,0)*'Оценка сложности задач'!$G$27)+(IF(C33='Оценка сложности задач'!$A$28,1,0)*IF(D33='Оценка сложности задач'!$B$28,1,0)*'Оценка сложности задач'!$G$28)+(IF(C33='Оценка сложности задач'!$A$29,1,0)*IF(D33='Оценка сложности задач'!$B$29,1,0)*'Оценка сложности задач'!$G$29)+(IF(C33='Оценка сложности задач'!$A$30,1,0)*IF(D33='Оценка сложности задач'!$B$30,1,0)*'Оценка сложности задач'!$G$30)+(IF(C33='Оценка сложности задач'!$A$31,1,0)*IF(D33='Оценка сложности задач'!$B$31,1,0)*'Оценка сложности задач'!$G$31)+(IF(C33='Оценка сложности задач'!$A$32,1,0)*IF(D33='Оценка сложности задач'!$B$32,1,0)*'Оценка сложности задач'!$G$32)+(IF(C33='Оценка сложности задач'!$A$33,1,0)*IF(D33='Оценка сложности задач'!$B$33,1,0)*'Оценка сложности задач'!$G$33)+(IF(C33='Оценка сложности задач'!$A$34,1,0)*IF(D33='Оценка сложности задач'!$B$34,1,0)*'Оценка сложности задач'!$G$34)+(IF(C33='Оценка сложности задач'!$A$35,1,0)*IF(D33='Оценка сложности задач'!$B$35,1,0)*'Оценка сложности задач'!$G$35)+(IF(C33='Оценка сложности задач'!$A$36,1,0)*IF(D33='Оценка сложности задач'!$B$36,1,0)*'Оценка сложности задач'!$G$36)+(IF(C33='Оценка сложности задач'!$A$37,1,0)*IF(D33='Оценка сложности задач'!$B$37,1,0)*'Оценка сложности задач'!$G$37)+(IF(C33='Оценка сложности задач'!$A$38,1,0)*IF(D33='Оценка сложности задач'!$B$38,1,0)*'Оценка сложности задач'!$G$38)+(IF(C33='Оценка сложности задач'!$A$39,1,0)*IF(D33='Оценка сложности задач'!$B$39,1,0)*'Оценка сложности задач'!$G$39)+(IF(C33='Оценка сложности задач'!$A$40,1,0)*IF(D33='Оценка сложности задач'!$B$40,1,0)*'Оценка сложности задач'!$G$40)</f>
        <v>0</v>
      </c>
      <c r="F33" s="49"/>
    </row>
    <row r="34" spans="1:6" x14ac:dyDescent="0.35">
      <c r="A34" s="54" t="s">
        <v>59</v>
      </c>
      <c r="B34" s="50"/>
      <c r="C34" s="56"/>
      <c r="D34" s="56"/>
      <c r="E34" s="56">
        <f>(IF(C34='Оценка сложности задач'!$A$2,1,0)*IF(D34='Оценка сложности задач'!$B$2,1,0)*'Оценка сложности задач'!$G$2)+(IF(C34='Оценка сложности задач'!$A$3,1,0)*IF(D34='Оценка сложности задач'!$B$3,1,0)*'Оценка сложности задач'!$G$3)+(IF(C34='Оценка сложности задач'!$A$4,1,0)*IF(D34='Оценка сложности задач'!$B$4,1,0)*'Оценка сложности задач'!$G$4)+(IF(C34='Оценка сложности задач'!$A$5,1,0)*IF(D34='Оценка сложности задач'!$B$5,1,0)*'Оценка сложности задач'!$G$5)+(IF(C34='Оценка сложности задач'!$A$6,1,0)*IF(D34='Оценка сложности задач'!$B$6,1,0)*'Оценка сложности задач'!$G$6)+(IF(C34='Оценка сложности задач'!$A$7,1,0)*IF(D34='Оценка сложности задач'!$B$7,1,0)*'Оценка сложности задач'!$G$7)+(IF(C34='Оценка сложности задач'!$A$8,1,0)*IF(D34='Оценка сложности задач'!$B$8,1,0)*'Оценка сложности задач'!$G$8)+(IF(C34='Оценка сложности задач'!$A$10,1,0)*IF(D34='Оценка сложности задач'!$B$10,1,0)*'Оценка сложности задач'!$G$10)+(IF(C34='Оценка сложности задач'!$A$9,1,0)*IF(D34='Оценка сложности задач'!$B$9,1,0)*'Оценка сложности задач'!$G$9)+ (IF(C34='Оценка сложности задач'!$A$11,1,0)*IF(D34='Оценка сложности задач'!$B$11,1,0)*'Оценка сложности задач'!$G$11) + (IF(C34='Оценка сложности задач'!$A$12,1,0)*IF(D34='Оценка сложности задач'!$B$12,1,0)*'Оценка сложности задач'!$G$12) + (IF(C34='Оценка сложности задач'!$A$13,1,0)*IF(D34='Оценка сложности задач'!$B$13,1,0)*'Оценка сложности задач'!$G$13) + (IF(C34='Оценка сложности задач'!$A$14,1,0)*IF(D34='Оценка сложности задач'!$B$14,1,0)*'Оценка сложности задач'!$G$14) + (IF(C34='Оценка сложности задач'!$A$15,1,0)*IF(D34='Оценка сложности задач'!$B$15,1,0)*'Оценка сложности задач'!$G$15) + (IF(C34='Оценка сложности задач'!$A$16,1,0)*IF(D34='Оценка сложности задач'!$B$16,1,0)*'Оценка сложности задач'!$G$16) + (IF(C34='Оценка сложности задач'!$A$17,1,0)*IF(D34='Оценка сложности задач'!$B$17,1,0)*'Оценка сложности задач'!$G$17) + (IF(C34='Оценка сложности задач'!$A$18,1,0)*IF(D34='Оценка сложности задач'!$B$18,1,0)*'Оценка сложности задач'!$G$18) + (IF(C34='Оценка сложности задач'!$A$19,1,0)*IF(D34='Оценка сложности задач'!$B$19,1,0)*'Оценка сложности задач'!$G$19)+(IF(C34='Оценка сложности задач'!$A$20,1,0)*IF(D34='Оценка сложности задач'!$B$20,1,0)*'Оценка сложности задач'!$G$20)+(IF(C34='Оценка сложности задач'!$A$21,1,0)*IF(D34='Оценка сложности задач'!$B$21,1,0)*'Оценка сложности задач'!$G$21)+(IF(C34='Оценка сложности задач'!$A$22,1,0)*IF(D34='Оценка сложности задач'!$B$22,1,0)*'Оценка сложности задач'!$G$22)+(IF(C34='Оценка сложности задач'!$A$23,1,0)*IF(D34='Оценка сложности задач'!$B$23,1,0)*'Оценка сложности задач'!$G$23)+(IF(C34='Оценка сложности задач'!$A$24,1,0)*IF(D34='Оценка сложности задач'!$B$24,1,0)*'Оценка сложности задач'!$G$24)+(IF(C34='Оценка сложности задач'!$A$25,1,0)*IF(D34='Оценка сложности задач'!$B$25,1,0)*'Оценка сложности задач'!$G$25)+(IF(C34='Оценка сложности задач'!$A$26,1,0)*IF(D34='Оценка сложности задач'!$B$26,1,0)*'Оценка сложности задач'!$G$26)+(IF(C34='Оценка сложности задач'!$A$27,1,0)*IF(D34='Оценка сложности задач'!$B$27,1,0)*'Оценка сложности задач'!$G$27)+(IF(C34='Оценка сложности задач'!$A$28,1,0)*IF(D34='Оценка сложности задач'!$B$28,1,0)*'Оценка сложности задач'!$G$28)+(IF(C34='Оценка сложности задач'!$A$29,1,0)*IF(D34='Оценка сложности задач'!$B$29,1,0)*'Оценка сложности задач'!$G$29)+(IF(C34='Оценка сложности задач'!$A$30,1,0)*IF(D34='Оценка сложности задач'!$B$30,1,0)*'Оценка сложности задач'!$G$30)+(IF(C34='Оценка сложности задач'!$A$31,1,0)*IF(D34='Оценка сложности задач'!$B$31,1,0)*'Оценка сложности задач'!$G$31)+(IF(C34='Оценка сложности задач'!$A$32,1,0)*IF(D34='Оценка сложности задач'!$B$32,1,0)*'Оценка сложности задач'!$G$32)+(IF(C34='Оценка сложности задач'!$A$33,1,0)*IF(D34='Оценка сложности задач'!$B$33,1,0)*'Оценка сложности задач'!$G$33)+(IF(C34='Оценка сложности задач'!$A$34,1,0)*IF(D34='Оценка сложности задач'!$B$34,1,0)*'Оценка сложности задач'!$G$34)+(IF(C34='Оценка сложности задач'!$A$35,1,0)*IF(D34='Оценка сложности задач'!$B$35,1,0)*'Оценка сложности задач'!$G$35)+(IF(C34='Оценка сложности задач'!$A$36,1,0)*IF(D34='Оценка сложности задач'!$B$36,1,0)*'Оценка сложности задач'!$G$36)+(IF(C34='Оценка сложности задач'!$A$37,1,0)*IF(D34='Оценка сложности задач'!$B$37,1,0)*'Оценка сложности задач'!$G$37)+(IF(C34='Оценка сложности задач'!$A$38,1,0)*IF(D34='Оценка сложности задач'!$B$38,1,0)*'Оценка сложности задач'!$G$38)+(IF(C34='Оценка сложности задач'!$A$39,1,0)*IF(D34='Оценка сложности задач'!$B$39,1,0)*'Оценка сложности задач'!$G$39)+(IF(C34='Оценка сложности задач'!$A$40,1,0)*IF(D34='Оценка сложности задач'!$B$40,1,0)*'Оценка сложности задач'!$G$40)</f>
        <v>0</v>
      </c>
      <c r="F34" s="49"/>
    </row>
    <row r="35" spans="1:6" x14ac:dyDescent="0.35">
      <c r="A35" s="54" t="s">
        <v>60</v>
      </c>
      <c r="B35" s="50"/>
      <c r="C35" s="56"/>
      <c r="D35" s="56"/>
      <c r="E35" s="56">
        <f>(IF(C35='Оценка сложности задач'!$A$2,1,0)*IF(D35='Оценка сложности задач'!$B$2,1,0)*'Оценка сложности задач'!$G$2)+(IF(C35='Оценка сложности задач'!$A$3,1,0)*IF(D35='Оценка сложности задач'!$B$3,1,0)*'Оценка сложности задач'!$G$3)+(IF(C35='Оценка сложности задач'!$A$4,1,0)*IF(D35='Оценка сложности задач'!$B$4,1,0)*'Оценка сложности задач'!$G$4)+(IF(C35='Оценка сложности задач'!$A$5,1,0)*IF(D35='Оценка сложности задач'!$B$5,1,0)*'Оценка сложности задач'!$G$5)+(IF(C35='Оценка сложности задач'!$A$6,1,0)*IF(D35='Оценка сложности задач'!$B$6,1,0)*'Оценка сложности задач'!$G$6)+(IF(C35='Оценка сложности задач'!$A$7,1,0)*IF(D35='Оценка сложности задач'!$B$7,1,0)*'Оценка сложности задач'!$G$7)+(IF(C35='Оценка сложности задач'!$A$8,1,0)*IF(D35='Оценка сложности задач'!$B$8,1,0)*'Оценка сложности задач'!$G$8)+(IF(C35='Оценка сложности задач'!$A$10,1,0)*IF(D35='Оценка сложности задач'!$B$10,1,0)*'Оценка сложности задач'!$G$10)+(IF(C35='Оценка сложности задач'!$A$9,1,0)*IF(D35='Оценка сложности задач'!$B$9,1,0)*'Оценка сложности задач'!$G$9)+ (IF(C35='Оценка сложности задач'!$A$11,1,0)*IF(D35='Оценка сложности задач'!$B$11,1,0)*'Оценка сложности задач'!$G$11) + (IF(C35='Оценка сложности задач'!$A$12,1,0)*IF(D35='Оценка сложности задач'!$B$12,1,0)*'Оценка сложности задач'!$G$12) + (IF(C35='Оценка сложности задач'!$A$13,1,0)*IF(D35='Оценка сложности задач'!$B$13,1,0)*'Оценка сложности задач'!$G$13) + (IF(C35='Оценка сложности задач'!$A$14,1,0)*IF(D35='Оценка сложности задач'!$B$14,1,0)*'Оценка сложности задач'!$G$14) + (IF(C35='Оценка сложности задач'!$A$15,1,0)*IF(D35='Оценка сложности задач'!$B$15,1,0)*'Оценка сложности задач'!$G$15) + (IF(C35='Оценка сложности задач'!$A$16,1,0)*IF(D35='Оценка сложности задач'!$B$16,1,0)*'Оценка сложности задач'!$G$16) + (IF(C35='Оценка сложности задач'!$A$17,1,0)*IF(D35='Оценка сложности задач'!$B$17,1,0)*'Оценка сложности задач'!$G$17) + (IF(C35='Оценка сложности задач'!$A$18,1,0)*IF(D35='Оценка сложности задач'!$B$18,1,0)*'Оценка сложности задач'!$G$18) + (IF(C35='Оценка сложности задач'!$A$19,1,0)*IF(D35='Оценка сложности задач'!$B$19,1,0)*'Оценка сложности задач'!$G$19)+(IF(C35='Оценка сложности задач'!$A$20,1,0)*IF(D35='Оценка сложности задач'!$B$20,1,0)*'Оценка сложности задач'!$G$20)+(IF(C35='Оценка сложности задач'!$A$21,1,0)*IF(D35='Оценка сложности задач'!$B$21,1,0)*'Оценка сложности задач'!$G$21)+(IF(C35='Оценка сложности задач'!$A$22,1,0)*IF(D35='Оценка сложности задач'!$B$22,1,0)*'Оценка сложности задач'!$G$22)+(IF(C35='Оценка сложности задач'!$A$23,1,0)*IF(D35='Оценка сложности задач'!$B$23,1,0)*'Оценка сложности задач'!$G$23)+(IF(C35='Оценка сложности задач'!$A$24,1,0)*IF(D35='Оценка сложности задач'!$B$24,1,0)*'Оценка сложности задач'!$G$24)+(IF(C35='Оценка сложности задач'!$A$25,1,0)*IF(D35='Оценка сложности задач'!$B$25,1,0)*'Оценка сложности задач'!$G$25)+(IF(C35='Оценка сложности задач'!$A$26,1,0)*IF(D35='Оценка сложности задач'!$B$26,1,0)*'Оценка сложности задач'!$G$26)+(IF(C35='Оценка сложности задач'!$A$27,1,0)*IF(D35='Оценка сложности задач'!$B$27,1,0)*'Оценка сложности задач'!$G$27)+(IF(C35='Оценка сложности задач'!$A$28,1,0)*IF(D35='Оценка сложности задач'!$B$28,1,0)*'Оценка сложности задач'!$G$28)+(IF(C35='Оценка сложности задач'!$A$29,1,0)*IF(D35='Оценка сложности задач'!$B$29,1,0)*'Оценка сложности задач'!$G$29)+(IF(C35='Оценка сложности задач'!$A$30,1,0)*IF(D35='Оценка сложности задач'!$B$30,1,0)*'Оценка сложности задач'!$G$30)+(IF(C35='Оценка сложности задач'!$A$31,1,0)*IF(D35='Оценка сложности задач'!$B$31,1,0)*'Оценка сложности задач'!$G$31)+(IF(C35='Оценка сложности задач'!$A$32,1,0)*IF(D35='Оценка сложности задач'!$B$32,1,0)*'Оценка сложности задач'!$G$32)+(IF(C35='Оценка сложности задач'!$A$33,1,0)*IF(D35='Оценка сложности задач'!$B$33,1,0)*'Оценка сложности задач'!$G$33)+(IF(C35='Оценка сложности задач'!$A$34,1,0)*IF(D35='Оценка сложности задач'!$B$34,1,0)*'Оценка сложности задач'!$G$34)+(IF(C35='Оценка сложности задач'!$A$35,1,0)*IF(D35='Оценка сложности задач'!$B$35,1,0)*'Оценка сложности задач'!$G$35)+(IF(C35='Оценка сложности задач'!$A$36,1,0)*IF(D35='Оценка сложности задач'!$B$36,1,0)*'Оценка сложности задач'!$G$36)+(IF(C35='Оценка сложности задач'!$A$37,1,0)*IF(D35='Оценка сложности задач'!$B$37,1,0)*'Оценка сложности задач'!$G$37)+(IF(C35='Оценка сложности задач'!$A$38,1,0)*IF(D35='Оценка сложности задач'!$B$38,1,0)*'Оценка сложности задач'!$G$38)+(IF(C35='Оценка сложности задач'!$A$39,1,0)*IF(D35='Оценка сложности задач'!$B$39,1,0)*'Оценка сложности задач'!$G$39)+(IF(C35='Оценка сложности задач'!$A$40,1,0)*IF(D35='Оценка сложности задач'!$B$40,1,0)*'Оценка сложности задач'!$G$40)</f>
        <v>0</v>
      </c>
      <c r="F35" s="49"/>
    </row>
    <row r="36" spans="1:6" x14ac:dyDescent="0.35">
      <c r="A36" s="54" t="s">
        <v>61</v>
      </c>
      <c r="B36" s="50"/>
      <c r="C36" s="56"/>
      <c r="D36" s="56"/>
      <c r="E36" s="56">
        <f>(IF(C36='Оценка сложности задач'!$A$2,1,0)*IF(D36='Оценка сложности задач'!$B$2,1,0)*'Оценка сложности задач'!$G$2)+(IF(C36='Оценка сложности задач'!$A$3,1,0)*IF(D36='Оценка сложности задач'!$B$3,1,0)*'Оценка сложности задач'!$G$3)+(IF(C36='Оценка сложности задач'!$A$4,1,0)*IF(D36='Оценка сложности задач'!$B$4,1,0)*'Оценка сложности задач'!$G$4)+(IF(C36='Оценка сложности задач'!$A$5,1,0)*IF(D36='Оценка сложности задач'!$B$5,1,0)*'Оценка сложности задач'!$G$5)+(IF(C36='Оценка сложности задач'!$A$6,1,0)*IF(D36='Оценка сложности задач'!$B$6,1,0)*'Оценка сложности задач'!$G$6)+(IF(C36='Оценка сложности задач'!$A$7,1,0)*IF(D36='Оценка сложности задач'!$B$7,1,0)*'Оценка сложности задач'!$G$7)+(IF(C36='Оценка сложности задач'!$A$8,1,0)*IF(D36='Оценка сложности задач'!$B$8,1,0)*'Оценка сложности задач'!$G$8)+(IF(C36='Оценка сложности задач'!$A$10,1,0)*IF(D36='Оценка сложности задач'!$B$10,1,0)*'Оценка сложности задач'!$G$10)+(IF(C36='Оценка сложности задач'!$A$9,1,0)*IF(D36='Оценка сложности задач'!$B$9,1,0)*'Оценка сложности задач'!$G$9)+ (IF(C36='Оценка сложности задач'!$A$11,1,0)*IF(D36='Оценка сложности задач'!$B$11,1,0)*'Оценка сложности задач'!$G$11) + (IF(C36='Оценка сложности задач'!$A$12,1,0)*IF(D36='Оценка сложности задач'!$B$12,1,0)*'Оценка сложности задач'!$G$12) + (IF(C36='Оценка сложности задач'!$A$13,1,0)*IF(D36='Оценка сложности задач'!$B$13,1,0)*'Оценка сложности задач'!$G$13) + (IF(C36='Оценка сложности задач'!$A$14,1,0)*IF(D36='Оценка сложности задач'!$B$14,1,0)*'Оценка сложности задач'!$G$14) + (IF(C36='Оценка сложности задач'!$A$15,1,0)*IF(D36='Оценка сложности задач'!$B$15,1,0)*'Оценка сложности задач'!$G$15) + (IF(C36='Оценка сложности задач'!$A$16,1,0)*IF(D36='Оценка сложности задач'!$B$16,1,0)*'Оценка сложности задач'!$G$16) + (IF(C36='Оценка сложности задач'!$A$17,1,0)*IF(D36='Оценка сложности задач'!$B$17,1,0)*'Оценка сложности задач'!$G$17) + (IF(C36='Оценка сложности задач'!$A$18,1,0)*IF(D36='Оценка сложности задач'!$B$18,1,0)*'Оценка сложности задач'!$G$18) + (IF(C36='Оценка сложности задач'!$A$19,1,0)*IF(D36='Оценка сложности задач'!$B$19,1,0)*'Оценка сложности задач'!$G$19)+(IF(C36='Оценка сложности задач'!$A$20,1,0)*IF(D36='Оценка сложности задач'!$B$20,1,0)*'Оценка сложности задач'!$G$20)+(IF(C36='Оценка сложности задач'!$A$21,1,0)*IF(D36='Оценка сложности задач'!$B$21,1,0)*'Оценка сложности задач'!$G$21)+(IF(C36='Оценка сложности задач'!$A$22,1,0)*IF(D36='Оценка сложности задач'!$B$22,1,0)*'Оценка сложности задач'!$G$22)+(IF(C36='Оценка сложности задач'!$A$23,1,0)*IF(D36='Оценка сложности задач'!$B$23,1,0)*'Оценка сложности задач'!$G$23)+(IF(C36='Оценка сложности задач'!$A$24,1,0)*IF(D36='Оценка сложности задач'!$B$24,1,0)*'Оценка сложности задач'!$G$24)+(IF(C36='Оценка сложности задач'!$A$25,1,0)*IF(D36='Оценка сложности задач'!$B$25,1,0)*'Оценка сложности задач'!$G$25)+(IF(C36='Оценка сложности задач'!$A$26,1,0)*IF(D36='Оценка сложности задач'!$B$26,1,0)*'Оценка сложности задач'!$G$26)+(IF(C36='Оценка сложности задач'!$A$27,1,0)*IF(D36='Оценка сложности задач'!$B$27,1,0)*'Оценка сложности задач'!$G$27)+(IF(C36='Оценка сложности задач'!$A$28,1,0)*IF(D36='Оценка сложности задач'!$B$28,1,0)*'Оценка сложности задач'!$G$28)+(IF(C36='Оценка сложности задач'!$A$29,1,0)*IF(D36='Оценка сложности задач'!$B$29,1,0)*'Оценка сложности задач'!$G$29)+(IF(C36='Оценка сложности задач'!$A$30,1,0)*IF(D36='Оценка сложности задач'!$B$30,1,0)*'Оценка сложности задач'!$G$30)+(IF(C36='Оценка сложности задач'!$A$31,1,0)*IF(D36='Оценка сложности задач'!$B$31,1,0)*'Оценка сложности задач'!$G$31)+(IF(C36='Оценка сложности задач'!$A$32,1,0)*IF(D36='Оценка сложности задач'!$B$32,1,0)*'Оценка сложности задач'!$G$32)+(IF(C36='Оценка сложности задач'!$A$33,1,0)*IF(D36='Оценка сложности задач'!$B$33,1,0)*'Оценка сложности задач'!$G$33)+(IF(C36='Оценка сложности задач'!$A$34,1,0)*IF(D36='Оценка сложности задач'!$B$34,1,0)*'Оценка сложности задач'!$G$34)+(IF(C36='Оценка сложности задач'!$A$35,1,0)*IF(D36='Оценка сложности задач'!$B$35,1,0)*'Оценка сложности задач'!$G$35)+(IF(C36='Оценка сложности задач'!$A$36,1,0)*IF(D36='Оценка сложности задач'!$B$36,1,0)*'Оценка сложности задач'!$G$36)+(IF(C36='Оценка сложности задач'!$A$37,1,0)*IF(D36='Оценка сложности задач'!$B$37,1,0)*'Оценка сложности задач'!$G$37)+(IF(C36='Оценка сложности задач'!$A$38,1,0)*IF(D36='Оценка сложности задач'!$B$38,1,0)*'Оценка сложности задач'!$G$38)+(IF(C36='Оценка сложности задач'!$A$39,1,0)*IF(D36='Оценка сложности задач'!$B$39,1,0)*'Оценка сложности задач'!$G$39)+(IF(C36='Оценка сложности задач'!$A$40,1,0)*IF(D36='Оценка сложности задач'!$B$40,1,0)*'Оценка сложности задач'!$G$40)</f>
        <v>0</v>
      </c>
      <c r="F36" s="49"/>
    </row>
    <row r="37" spans="1:6" x14ac:dyDescent="0.35">
      <c r="A37" s="54" t="s">
        <v>62</v>
      </c>
      <c r="B37" s="50"/>
      <c r="C37" s="56"/>
      <c r="D37" s="56"/>
      <c r="E37" s="56">
        <f>(IF(C37='Оценка сложности задач'!$A$2,1,0)*IF(D37='Оценка сложности задач'!$B$2,1,0)*'Оценка сложности задач'!$G$2)+(IF(C37='Оценка сложности задач'!$A$3,1,0)*IF(D37='Оценка сложности задач'!$B$3,1,0)*'Оценка сложности задач'!$G$3)+(IF(C37='Оценка сложности задач'!$A$4,1,0)*IF(D37='Оценка сложности задач'!$B$4,1,0)*'Оценка сложности задач'!$G$4)+(IF(C37='Оценка сложности задач'!$A$5,1,0)*IF(D37='Оценка сложности задач'!$B$5,1,0)*'Оценка сложности задач'!$G$5)+(IF(C37='Оценка сложности задач'!$A$6,1,0)*IF(D37='Оценка сложности задач'!$B$6,1,0)*'Оценка сложности задач'!$G$6)+(IF(C37='Оценка сложности задач'!$A$7,1,0)*IF(D37='Оценка сложности задач'!$B$7,1,0)*'Оценка сложности задач'!$G$7)+(IF(C37='Оценка сложности задач'!$A$8,1,0)*IF(D37='Оценка сложности задач'!$B$8,1,0)*'Оценка сложности задач'!$G$8)+(IF(C37='Оценка сложности задач'!$A$10,1,0)*IF(D37='Оценка сложности задач'!$B$10,1,0)*'Оценка сложности задач'!$G$10)+(IF(C37='Оценка сложности задач'!$A$9,1,0)*IF(D37='Оценка сложности задач'!$B$9,1,0)*'Оценка сложности задач'!$G$9)+ (IF(C37='Оценка сложности задач'!$A$11,1,0)*IF(D37='Оценка сложности задач'!$B$11,1,0)*'Оценка сложности задач'!$G$11) + (IF(C37='Оценка сложности задач'!$A$12,1,0)*IF(D37='Оценка сложности задач'!$B$12,1,0)*'Оценка сложности задач'!$G$12) + (IF(C37='Оценка сложности задач'!$A$13,1,0)*IF(D37='Оценка сложности задач'!$B$13,1,0)*'Оценка сложности задач'!$G$13) + (IF(C37='Оценка сложности задач'!$A$14,1,0)*IF(D37='Оценка сложности задач'!$B$14,1,0)*'Оценка сложности задач'!$G$14) + (IF(C37='Оценка сложности задач'!$A$15,1,0)*IF(D37='Оценка сложности задач'!$B$15,1,0)*'Оценка сложности задач'!$G$15) + (IF(C37='Оценка сложности задач'!$A$16,1,0)*IF(D37='Оценка сложности задач'!$B$16,1,0)*'Оценка сложности задач'!$G$16) + (IF(C37='Оценка сложности задач'!$A$17,1,0)*IF(D37='Оценка сложности задач'!$B$17,1,0)*'Оценка сложности задач'!$G$17) + (IF(C37='Оценка сложности задач'!$A$18,1,0)*IF(D37='Оценка сложности задач'!$B$18,1,0)*'Оценка сложности задач'!$G$18) + (IF(C37='Оценка сложности задач'!$A$19,1,0)*IF(D37='Оценка сложности задач'!$B$19,1,0)*'Оценка сложности задач'!$G$19)+(IF(C37='Оценка сложности задач'!$A$20,1,0)*IF(D37='Оценка сложности задач'!$B$20,1,0)*'Оценка сложности задач'!$G$20)+(IF(C37='Оценка сложности задач'!$A$21,1,0)*IF(D37='Оценка сложности задач'!$B$21,1,0)*'Оценка сложности задач'!$G$21)+(IF(C37='Оценка сложности задач'!$A$22,1,0)*IF(D37='Оценка сложности задач'!$B$22,1,0)*'Оценка сложности задач'!$G$22)+(IF(C37='Оценка сложности задач'!$A$23,1,0)*IF(D37='Оценка сложности задач'!$B$23,1,0)*'Оценка сложности задач'!$G$23)+(IF(C37='Оценка сложности задач'!$A$24,1,0)*IF(D37='Оценка сложности задач'!$B$24,1,0)*'Оценка сложности задач'!$G$24)+(IF(C37='Оценка сложности задач'!$A$25,1,0)*IF(D37='Оценка сложности задач'!$B$25,1,0)*'Оценка сложности задач'!$G$25)+(IF(C37='Оценка сложности задач'!$A$26,1,0)*IF(D37='Оценка сложности задач'!$B$26,1,0)*'Оценка сложности задач'!$G$26)+(IF(C37='Оценка сложности задач'!$A$27,1,0)*IF(D37='Оценка сложности задач'!$B$27,1,0)*'Оценка сложности задач'!$G$27)+(IF(C37='Оценка сложности задач'!$A$28,1,0)*IF(D37='Оценка сложности задач'!$B$28,1,0)*'Оценка сложности задач'!$G$28)+(IF(C37='Оценка сложности задач'!$A$29,1,0)*IF(D37='Оценка сложности задач'!$B$29,1,0)*'Оценка сложности задач'!$G$29)+(IF(C37='Оценка сложности задач'!$A$30,1,0)*IF(D37='Оценка сложности задач'!$B$30,1,0)*'Оценка сложности задач'!$G$30)+(IF(C37='Оценка сложности задач'!$A$31,1,0)*IF(D37='Оценка сложности задач'!$B$31,1,0)*'Оценка сложности задач'!$G$31)+(IF(C37='Оценка сложности задач'!$A$32,1,0)*IF(D37='Оценка сложности задач'!$B$32,1,0)*'Оценка сложности задач'!$G$32)+(IF(C37='Оценка сложности задач'!$A$33,1,0)*IF(D37='Оценка сложности задач'!$B$33,1,0)*'Оценка сложности задач'!$G$33)+(IF(C37='Оценка сложности задач'!$A$34,1,0)*IF(D37='Оценка сложности задач'!$B$34,1,0)*'Оценка сложности задач'!$G$34)+(IF(C37='Оценка сложности задач'!$A$35,1,0)*IF(D37='Оценка сложности задач'!$B$35,1,0)*'Оценка сложности задач'!$G$35)+(IF(C37='Оценка сложности задач'!$A$36,1,0)*IF(D37='Оценка сложности задач'!$B$36,1,0)*'Оценка сложности задач'!$G$36)+(IF(C37='Оценка сложности задач'!$A$37,1,0)*IF(D37='Оценка сложности задач'!$B$37,1,0)*'Оценка сложности задач'!$G$37)+(IF(C37='Оценка сложности задач'!$A$38,1,0)*IF(D37='Оценка сложности задач'!$B$38,1,0)*'Оценка сложности задач'!$G$38)+(IF(C37='Оценка сложности задач'!$A$39,1,0)*IF(D37='Оценка сложности задач'!$B$39,1,0)*'Оценка сложности задач'!$G$39)+(IF(C37='Оценка сложности задач'!$A$40,1,0)*IF(D37='Оценка сложности задач'!$B$40,1,0)*'Оценка сложности задач'!$G$40)</f>
        <v>0</v>
      </c>
      <c r="F37" s="49"/>
    </row>
    <row r="38" spans="1:6" x14ac:dyDescent="0.35">
      <c r="A38" s="54" t="s">
        <v>63</v>
      </c>
      <c r="B38" s="50"/>
      <c r="C38" s="56"/>
      <c r="D38" s="56"/>
      <c r="E38" s="56">
        <f>(IF(C38='Оценка сложности задач'!$A$2,1,0)*IF(D38='Оценка сложности задач'!$B$2,1,0)*'Оценка сложности задач'!$G$2)+(IF(C38='Оценка сложности задач'!$A$3,1,0)*IF(D38='Оценка сложности задач'!$B$3,1,0)*'Оценка сложности задач'!$G$3)+(IF(C38='Оценка сложности задач'!$A$4,1,0)*IF(D38='Оценка сложности задач'!$B$4,1,0)*'Оценка сложности задач'!$G$4)+(IF(C38='Оценка сложности задач'!$A$5,1,0)*IF(D38='Оценка сложности задач'!$B$5,1,0)*'Оценка сложности задач'!$G$5)+(IF(C38='Оценка сложности задач'!$A$6,1,0)*IF(D38='Оценка сложности задач'!$B$6,1,0)*'Оценка сложности задач'!$G$6)+(IF(C38='Оценка сложности задач'!$A$7,1,0)*IF(D38='Оценка сложности задач'!$B$7,1,0)*'Оценка сложности задач'!$G$7)+(IF(C38='Оценка сложности задач'!$A$8,1,0)*IF(D38='Оценка сложности задач'!$B$8,1,0)*'Оценка сложности задач'!$G$8)+(IF(C38='Оценка сложности задач'!$A$10,1,0)*IF(D38='Оценка сложности задач'!$B$10,1,0)*'Оценка сложности задач'!$G$10)+(IF(C38='Оценка сложности задач'!$A$9,1,0)*IF(D38='Оценка сложности задач'!$B$9,1,0)*'Оценка сложности задач'!$G$9)+ (IF(C38='Оценка сложности задач'!$A$11,1,0)*IF(D38='Оценка сложности задач'!$B$11,1,0)*'Оценка сложности задач'!$G$11) + (IF(C38='Оценка сложности задач'!$A$12,1,0)*IF(D38='Оценка сложности задач'!$B$12,1,0)*'Оценка сложности задач'!$G$12) + (IF(C38='Оценка сложности задач'!$A$13,1,0)*IF(D38='Оценка сложности задач'!$B$13,1,0)*'Оценка сложности задач'!$G$13) + (IF(C38='Оценка сложности задач'!$A$14,1,0)*IF(D38='Оценка сложности задач'!$B$14,1,0)*'Оценка сложности задач'!$G$14) + (IF(C38='Оценка сложности задач'!$A$15,1,0)*IF(D38='Оценка сложности задач'!$B$15,1,0)*'Оценка сложности задач'!$G$15) + (IF(C38='Оценка сложности задач'!$A$16,1,0)*IF(D38='Оценка сложности задач'!$B$16,1,0)*'Оценка сложности задач'!$G$16) + (IF(C38='Оценка сложности задач'!$A$17,1,0)*IF(D38='Оценка сложности задач'!$B$17,1,0)*'Оценка сложности задач'!$G$17) + (IF(C38='Оценка сложности задач'!$A$18,1,0)*IF(D38='Оценка сложности задач'!$B$18,1,0)*'Оценка сложности задач'!$G$18) + (IF(C38='Оценка сложности задач'!$A$19,1,0)*IF(D38='Оценка сложности задач'!$B$19,1,0)*'Оценка сложности задач'!$G$19)+(IF(C38='Оценка сложности задач'!$A$20,1,0)*IF(D38='Оценка сложности задач'!$B$20,1,0)*'Оценка сложности задач'!$G$20)+(IF(C38='Оценка сложности задач'!$A$21,1,0)*IF(D38='Оценка сложности задач'!$B$21,1,0)*'Оценка сложности задач'!$G$21)+(IF(C38='Оценка сложности задач'!$A$22,1,0)*IF(D38='Оценка сложности задач'!$B$22,1,0)*'Оценка сложности задач'!$G$22)+(IF(C38='Оценка сложности задач'!$A$23,1,0)*IF(D38='Оценка сложности задач'!$B$23,1,0)*'Оценка сложности задач'!$G$23)+(IF(C38='Оценка сложности задач'!$A$24,1,0)*IF(D38='Оценка сложности задач'!$B$24,1,0)*'Оценка сложности задач'!$G$24)+(IF(C38='Оценка сложности задач'!$A$25,1,0)*IF(D38='Оценка сложности задач'!$B$25,1,0)*'Оценка сложности задач'!$G$25)+(IF(C38='Оценка сложности задач'!$A$26,1,0)*IF(D38='Оценка сложности задач'!$B$26,1,0)*'Оценка сложности задач'!$G$26)+(IF(C38='Оценка сложности задач'!$A$27,1,0)*IF(D38='Оценка сложности задач'!$B$27,1,0)*'Оценка сложности задач'!$G$27)+(IF(C38='Оценка сложности задач'!$A$28,1,0)*IF(D38='Оценка сложности задач'!$B$28,1,0)*'Оценка сложности задач'!$G$28)+(IF(C38='Оценка сложности задач'!$A$29,1,0)*IF(D38='Оценка сложности задач'!$B$29,1,0)*'Оценка сложности задач'!$G$29)+(IF(C38='Оценка сложности задач'!$A$30,1,0)*IF(D38='Оценка сложности задач'!$B$30,1,0)*'Оценка сложности задач'!$G$30)+(IF(C38='Оценка сложности задач'!$A$31,1,0)*IF(D38='Оценка сложности задач'!$B$31,1,0)*'Оценка сложности задач'!$G$31)+(IF(C38='Оценка сложности задач'!$A$32,1,0)*IF(D38='Оценка сложности задач'!$B$32,1,0)*'Оценка сложности задач'!$G$32)+(IF(C38='Оценка сложности задач'!$A$33,1,0)*IF(D38='Оценка сложности задач'!$B$33,1,0)*'Оценка сложности задач'!$G$33)+(IF(C38='Оценка сложности задач'!$A$34,1,0)*IF(D38='Оценка сложности задач'!$B$34,1,0)*'Оценка сложности задач'!$G$34)+(IF(C38='Оценка сложности задач'!$A$35,1,0)*IF(D38='Оценка сложности задач'!$B$35,1,0)*'Оценка сложности задач'!$G$35)+(IF(C38='Оценка сложности задач'!$A$36,1,0)*IF(D38='Оценка сложности задач'!$B$36,1,0)*'Оценка сложности задач'!$G$36)+(IF(C38='Оценка сложности задач'!$A$37,1,0)*IF(D38='Оценка сложности задач'!$B$37,1,0)*'Оценка сложности задач'!$G$37)+(IF(C38='Оценка сложности задач'!$A$38,1,0)*IF(D38='Оценка сложности задач'!$B$38,1,0)*'Оценка сложности задач'!$G$38)+(IF(C38='Оценка сложности задач'!$A$39,1,0)*IF(D38='Оценка сложности задач'!$B$39,1,0)*'Оценка сложности задач'!$G$39)+(IF(C38='Оценка сложности задач'!$A$40,1,0)*IF(D38='Оценка сложности задач'!$B$40,1,0)*'Оценка сложности задач'!$G$40)</f>
        <v>0</v>
      </c>
      <c r="F38" s="49"/>
    </row>
    <row r="39" spans="1:6" x14ac:dyDescent="0.35">
      <c r="A39" s="54" t="s">
        <v>64</v>
      </c>
      <c r="B39" s="50"/>
      <c r="C39" s="56"/>
      <c r="D39" s="56"/>
      <c r="E39" s="56">
        <f>(IF(C39='Оценка сложности задач'!$A$2,1,0)*IF(D39='Оценка сложности задач'!$B$2,1,0)*'Оценка сложности задач'!$G$2)+(IF(C39='Оценка сложности задач'!$A$3,1,0)*IF(D39='Оценка сложности задач'!$B$3,1,0)*'Оценка сложности задач'!$G$3)+(IF(C39='Оценка сложности задач'!$A$4,1,0)*IF(D39='Оценка сложности задач'!$B$4,1,0)*'Оценка сложности задач'!$G$4)+(IF(C39='Оценка сложности задач'!$A$5,1,0)*IF(D39='Оценка сложности задач'!$B$5,1,0)*'Оценка сложности задач'!$G$5)+(IF(C39='Оценка сложности задач'!$A$6,1,0)*IF(D39='Оценка сложности задач'!$B$6,1,0)*'Оценка сложности задач'!$G$6)+(IF(C39='Оценка сложности задач'!$A$7,1,0)*IF(D39='Оценка сложности задач'!$B$7,1,0)*'Оценка сложности задач'!$G$7)+(IF(C39='Оценка сложности задач'!$A$8,1,0)*IF(D39='Оценка сложности задач'!$B$8,1,0)*'Оценка сложности задач'!$G$8)+(IF(C39='Оценка сложности задач'!$A$10,1,0)*IF(D39='Оценка сложности задач'!$B$10,1,0)*'Оценка сложности задач'!$G$10)+(IF(C39='Оценка сложности задач'!$A$9,1,0)*IF(D39='Оценка сложности задач'!$B$9,1,0)*'Оценка сложности задач'!$G$9)+ (IF(C39='Оценка сложности задач'!$A$11,1,0)*IF(D39='Оценка сложности задач'!$B$11,1,0)*'Оценка сложности задач'!$G$11) + (IF(C39='Оценка сложности задач'!$A$12,1,0)*IF(D39='Оценка сложности задач'!$B$12,1,0)*'Оценка сложности задач'!$G$12) + (IF(C39='Оценка сложности задач'!$A$13,1,0)*IF(D39='Оценка сложности задач'!$B$13,1,0)*'Оценка сложности задач'!$G$13) + (IF(C39='Оценка сложности задач'!$A$14,1,0)*IF(D39='Оценка сложности задач'!$B$14,1,0)*'Оценка сложности задач'!$G$14) + (IF(C39='Оценка сложности задач'!$A$15,1,0)*IF(D39='Оценка сложности задач'!$B$15,1,0)*'Оценка сложности задач'!$G$15) + (IF(C39='Оценка сложности задач'!$A$16,1,0)*IF(D39='Оценка сложности задач'!$B$16,1,0)*'Оценка сложности задач'!$G$16) + (IF(C39='Оценка сложности задач'!$A$17,1,0)*IF(D39='Оценка сложности задач'!$B$17,1,0)*'Оценка сложности задач'!$G$17) + (IF(C39='Оценка сложности задач'!$A$18,1,0)*IF(D39='Оценка сложности задач'!$B$18,1,0)*'Оценка сложности задач'!$G$18) + (IF(C39='Оценка сложности задач'!$A$19,1,0)*IF(D39='Оценка сложности задач'!$B$19,1,0)*'Оценка сложности задач'!$G$19)+(IF(C39='Оценка сложности задач'!$A$20,1,0)*IF(D39='Оценка сложности задач'!$B$20,1,0)*'Оценка сложности задач'!$G$20)+(IF(C39='Оценка сложности задач'!$A$21,1,0)*IF(D39='Оценка сложности задач'!$B$21,1,0)*'Оценка сложности задач'!$G$21)+(IF(C39='Оценка сложности задач'!$A$22,1,0)*IF(D39='Оценка сложности задач'!$B$22,1,0)*'Оценка сложности задач'!$G$22)+(IF(C39='Оценка сложности задач'!$A$23,1,0)*IF(D39='Оценка сложности задач'!$B$23,1,0)*'Оценка сложности задач'!$G$23)+(IF(C39='Оценка сложности задач'!$A$24,1,0)*IF(D39='Оценка сложности задач'!$B$24,1,0)*'Оценка сложности задач'!$G$24)+(IF(C39='Оценка сложности задач'!$A$25,1,0)*IF(D39='Оценка сложности задач'!$B$25,1,0)*'Оценка сложности задач'!$G$25)+(IF(C39='Оценка сложности задач'!$A$26,1,0)*IF(D39='Оценка сложности задач'!$B$26,1,0)*'Оценка сложности задач'!$G$26)+(IF(C39='Оценка сложности задач'!$A$27,1,0)*IF(D39='Оценка сложности задач'!$B$27,1,0)*'Оценка сложности задач'!$G$27)+(IF(C39='Оценка сложности задач'!$A$28,1,0)*IF(D39='Оценка сложности задач'!$B$28,1,0)*'Оценка сложности задач'!$G$28)+(IF(C39='Оценка сложности задач'!$A$29,1,0)*IF(D39='Оценка сложности задач'!$B$29,1,0)*'Оценка сложности задач'!$G$29)+(IF(C39='Оценка сложности задач'!$A$30,1,0)*IF(D39='Оценка сложности задач'!$B$30,1,0)*'Оценка сложности задач'!$G$30)+(IF(C39='Оценка сложности задач'!$A$31,1,0)*IF(D39='Оценка сложности задач'!$B$31,1,0)*'Оценка сложности задач'!$G$31)+(IF(C39='Оценка сложности задач'!$A$32,1,0)*IF(D39='Оценка сложности задач'!$B$32,1,0)*'Оценка сложности задач'!$G$32)+(IF(C39='Оценка сложности задач'!$A$33,1,0)*IF(D39='Оценка сложности задач'!$B$33,1,0)*'Оценка сложности задач'!$G$33)+(IF(C39='Оценка сложности задач'!$A$34,1,0)*IF(D39='Оценка сложности задач'!$B$34,1,0)*'Оценка сложности задач'!$G$34)+(IF(C39='Оценка сложности задач'!$A$35,1,0)*IF(D39='Оценка сложности задач'!$B$35,1,0)*'Оценка сложности задач'!$G$35)+(IF(C39='Оценка сложности задач'!$A$36,1,0)*IF(D39='Оценка сложности задач'!$B$36,1,0)*'Оценка сложности задач'!$G$36)+(IF(C39='Оценка сложности задач'!$A$37,1,0)*IF(D39='Оценка сложности задач'!$B$37,1,0)*'Оценка сложности задач'!$G$37)+(IF(C39='Оценка сложности задач'!$A$38,1,0)*IF(D39='Оценка сложности задач'!$B$38,1,0)*'Оценка сложности задач'!$G$38)+(IF(C39='Оценка сложности задач'!$A$39,1,0)*IF(D39='Оценка сложности задач'!$B$39,1,0)*'Оценка сложности задач'!$G$39)+(IF(C39='Оценка сложности задач'!$A$40,1,0)*IF(D39='Оценка сложности задач'!$B$40,1,0)*'Оценка сложности задач'!$G$40)</f>
        <v>0</v>
      </c>
      <c r="F39" s="49"/>
    </row>
    <row r="40" spans="1:6" x14ac:dyDescent="0.35">
      <c r="A40" s="54" t="s">
        <v>65</v>
      </c>
      <c r="B40" s="51"/>
      <c r="C40" s="56"/>
      <c r="D40" s="56"/>
      <c r="E40" s="56">
        <f>(IF(C40='Оценка сложности задач'!$A$2,1,0)*IF(D40='Оценка сложности задач'!$B$2,1,0)*'Оценка сложности задач'!$G$2)+(IF(C40='Оценка сложности задач'!$A$3,1,0)*IF(D40='Оценка сложности задач'!$B$3,1,0)*'Оценка сложности задач'!$G$3)+(IF(C40='Оценка сложности задач'!$A$4,1,0)*IF(D40='Оценка сложности задач'!$B$4,1,0)*'Оценка сложности задач'!$G$4)+(IF(C40='Оценка сложности задач'!$A$5,1,0)*IF(D40='Оценка сложности задач'!$B$5,1,0)*'Оценка сложности задач'!$G$5)+(IF(C40='Оценка сложности задач'!$A$6,1,0)*IF(D40='Оценка сложности задач'!$B$6,1,0)*'Оценка сложности задач'!$G$6)+(IF(C40='Оценка сложности задач'!$A$7,1,0)*IF(D40='Оценка сложности задач'!$B$7,1,0)*'Оценка сложности задач'!$G$7)+(IF(C40='Оценка сложности задач'!$A$8,1,0)*IF(D40='Оценка сложности задач'!$B$8,1,0)*'Оценка сложности задач'!$G$8)+(IF(C40='Оценка сложности задач'!$A$10,1,0)*IF(D40='Оценка сложности задач'!$B$10,1,0)*'Оценка сложности задач'!$G$10)+(IF(C40='Оценка сложности задач'!$A$9,1,0)*IF(D40='Оценка сложности задач'!$B$9,1,0)*'Оценка сложности задач'!$G$9)+ (IF(C40='Оценка сложности задач'!$A$11,1,0)*IF(D40='Оценка сложности задач'!$B$11,1,0)*'Оценка сложности задач'!$G$11) + (IF(C40='Оценка сложности задач'!$A$12,1,0)*IF(D40='Оценка сложности задач'!$B$12,1,0)*'Оценка сложности задач'!$G$12) + (IF(C40='Оценка сложности задач'!$A$13,1,0)*IF(D40='Оценка сложности задач'!$B$13,1,0)*'Оценка сложности задач'!$G$13) + (IF(C40='Оценка сложности задач'!$A$14,1,0)*IF(D40='Оценка сложности задач'!$B$14,1,0)*'Оценка сложности задач'!$G$14) + (IF(C40='Оценка сложности задач'!$A$15,1,0)*IF(D40='Оценка сложности задач'!$B$15,1,0)*'Оценка сложности задач'!$G$15) + (IF(C40='Оценка сложности задач'!$A$16,1,0)*IF(D40='Оценка сложности задач'!$B$16,1,0)*'Оценка сложности задач'!$G$16) + (IF(C40='Оценка сложности задач'!$A$17,1,0)*IF(D40='Оценка сложности задач'!$B$17,1,0)*'Оценка сложности задач'!$G$17) + (IF(C40='Оценка сложности задач'!$A$18,1,0)*IF(D40='Оценка сложности задач'!$B$18,1,0)*'Оценка сложности задач'!$G$18) + (IF(C40='Оценка сложности задач'!$A$19,1,0)*IF(D40='Оценка сложности задач'!$B$19,1,0)*'Оценка сложности задач'!$G$19)+(IF(C40='Оценка сложности задач'!$A$20,1,0)*IF(D40='Оценка сложности задач'!$B$20,1,0)*'Оценка сложности задач'!$G$20)+(IF(C40='Оценка сложности задач'!$A$21,1,0)*IF(D40='Оценка сложности задач'!$B$21,1,0)*'Оценка сложности задач'!$G$21)+(IF(C40='Оценка сложности задач'!$A$22,1,0)*IF(D40='Оценка сложности задач'!$B$22,1,0)*'Оценка сложности задач'!$G$22)+(IF(C40='Оценка сложности задач'!$A$23,1,0)*IF(D40='Оценка сложности задач'!$B$23,1,0)*'Оценка сложности задач'!$G$23)+(IF(C40='Оценка сложности задач'!$A$24,1,0)*IF(D40='Оценка сложности задач'!$B$24,1,0)*'Оценка сложности задач'!$G$24)+(IF(C40='Оценка сложности задач'!$A$25,1,0)*IF(D40='Оценка сложности задач'!$B$25,1,0)*'Оценка сложности задач'!$G$25)+(IF(C40='Оценка сложности задач'!$A$26,1,0)*IF(D40='Оценка сложности задач'!$B$26,1,0)*'Оценка сложности задач'!$G$26)+(IF(C40='Оценка сложности задач'!$A$27,1,0)*IF(D40='Оценка сложности задач'!$B$27,1,0)*'Оценка сложности задач'!$G$27)+(IF(C40='Оценка сложности задач'!$A$28,1,0)*IF(D40='Оценка сложности задач'!$B$28,1,0)*'Оценка сложности задач'!$G$28)+(IF(C40='Оценка сложности задач'!$A$29,1,0)*IF(D40='Оценка сложности задач'!$B$29,1,0)*'Оценка сложности задач'!$G$29)+(IF(C40='Оценка сложности задач'!$A$30,1,0)*IF(D40='Оценка сложности задач'!$B$30,1,0)*'Оценка сложности задач'!$G$30)+(IF(C40='Оценка сложности задач'!$A$31,1,0)*IF(D40='Оценка сложности задач'!$B$31,1,0)*'Оценка сложности задач'!$G$31)+(IF(C40='Оценка сложности задач'!$A$32,1,0)*IF(D40='Оценка сложности задач'!$B$32,1,0)*'Оценка сложности задач'!$G$32)+(IF(C40='Оценка сложности задач'!$A$33,1,0)*IF(D40='Оценка сложности задач'!$B$33,1,0)*'Оценка сложности задач'!$G$33)+(IF(C40='Оценка сложности задач'!$A$34,1,0)*IF(D40='Оценка сложности задач'!$B$34,1,0)*'Оценка сложности задач'!$G$34)+(IF(C40='Оценка сложности задач'!$A$35,1,0)*IF(D40='Оценка сложности задач'!$B$35,1,0)*'Оценка сложности задач'!$G$35)+(IF(C40='Оценка сложности задач'!$A$36,1,0)*IF(D40='Оценка сложности задач'!$B$36,1,0)*'Оценка сложности задач'!$G$36)+(IF(C40='Оценка сложности задач'!$A$37,1,0)*IF(D40='Оценка сложности задач'!$B$37,1,0)*'Оценка сложности задач'!$G$37)+(IF(C40='Оценка сложности задач'!$A$38,1,0)*IF(D40='Оценка сложности задач'!$B$38,1,0)*'Оценка сложности задач'!$G$38)+(IF(C40='Оценка сложности задач'!$A$39,1,0)*IF(D40='Оценка сложности задач'!$B$39,1,0)*'Оценка сложности задач'!$G$39)+(IF(C40='Оценка сложности задач'!$A$40,1,0)*IF(D40='Оценка сложности задач'!$B$40,1,0)*'Оценка сложности задач'!$G$40)</f>
        <v>0</v>
      </c>
      <c r="F40" s="49"/>
    </row>
    <row r="41" spans="1:6" x14ac:dyDescent="0.35">
      <c r="A41" s="54" t="s">
        <v>66</v>
      </c>
      <c r="B41" s="51"/>
      <c r="C41" s="56"/>
      <c r="D41" s="56"/>
      <c r="E41" s="56">
        <f>(IF(C41='Оценка сложности задач'!$A$2,1,0)*IF(D41='Оценка сложности задач'!$B$2,1,0)*'Оценка сложности задач'!$G$2)+(IF(C41='Оценка сложности задач'!$A$3,1,0)*IF(D41='Оценка сложности задач'!$B$3,1,0)*'Оценка сложности задач'!$G$3)+(IF(C41='Оценка сложности задач'!$A$4,1,0)*IF(D41='Оценка сложности задач'!$B$4,1,0)*'Оценка сложности задач'!$G$4)+(IF(C41='Оценка сложности задач'!$A$5,1,0)*IF(D41='Оценка сложности задач'!$B$5,1,0)*'Оценка сложности задач'!$G$5)+(IF(C41='Оценка сложности задач'!$A$6,1,0)*IF(D41='Оценка сложности задач'!$B$6,1,0)*'Оценка сложности задач'!$G$6)+(IF(C41='Оценка сложности задач'!$A$7,1,0)*IF(D41='Оценка сложности задач'!$B$7,1,0)*'Оценка сложности задач'!$G$7)+(IF(C41='Оценка сложности задач'!$A$8,1,0)*IF(D41='Оценка сложности задач'!$B$8,1,0)*'Оценка сложности задач'!$G$8)+(IF(C41='Оценка сложности задач'!$A$10,1,0)*IF(D41='Оценка сложности задач'!$B$10,1,0)*'Оценка сложности задач'!$G$10)+(IF(C41='Оценка сложности задач'!$A$9,1,0)*IF(D41='Оценка сложности задач'!$B$9,1,0)*'Оценка сложности задач'!$G$9)+ (IF(C41='Оценка сложности задач'!$A$11,1,0)*IF(D41='Оценка сложности задач'!$B$11,1,0)*'Оценка сложности задач'!$G$11) + (IF(C41='Оценка сложности задач'!$A$12,1,0)*IF(D41='Оценка сложности задач'!$B$12,1,0)*'Оценка сложности задач'!$G$12) + (IF(C41='Оценка сложности задач'!$A$13,1,0)*IF(D41='Оценка сложности задач'!$B$13,1,0)*'Оценка сложности задач'!$G$13) + (IF(C41='Оценка сложности задач'!$A$14,1,0)*IF(D41='Оценка сложности задач'!$B$14,1,0)*'Оценка сложности задач'!$G$14) + (IF(C41='Оценка сложности задач'!$A$15,1,0)*IF(D41='Оценка сложности задач'!$B$15,1,0)*'Оценка сложности задач'!$G$15) + (IF(C41='Оценка сложности задач'!$A$16,1,0)*IF(D41='Оценка сложности задач'!$B$16,1,0)*'Оценка сложности задач'!$G$16) + (IF(C41='Оценка сложности задач'!$A$17,1,0)*IF(D41='Оценка сложности задач'!$B$17,1,0)*'Оценка сложности задач'!$G$17) + (IF(C41='Оценка сложности задач'!$A$18,1,0)*IF(D41='Оценка сложности задач'!$B$18,1,0)*'Оценка сложности задач'!$G$18) + (IF(C41='Оценка сложности задач'!$A$19,1,0)*IF(D41='Оценка сложности задач'!$B$19,1,0)*'Оценка сложности задач'!$G$19)+(IF(C41='Оценка сложности задач'!$A$20,1,0)*IF(D41='Оценка сложности задач'!$B$20,1,0)*'Оценка сложности задач'!$G$20)+(IF(C41='Оценка сложности задач'!$A$21,1,0)*IF(D41='Оценка сложности задач'!$B$21,1,0)*'Оценка сложности задач'!$G$21)+(IF(C41='Оценка сложности задач'!$A$22,1,0)*IF(D41='Оценка сложности задач'!$B$22,1,0)*'Оценка сложности задач'!$G$22)+(IF(C41='Оценка сложности задач'!$A$23,1,0)*IF(D41='Оценка сложности задач'!$B$23,1,0)*'Оценка сложности задач'!$G$23)+(IF(C41='Оценка сложности задач'!$A$24,1,0)*IF(D41='Оценка сложности задач'!$B$24,1,0)*'Оценка сложности задач'!$G$24)+(IF(C41='Оценка сложности задач'!$A$25,1,0)*IF(D41='Оценка сложности задач'!$B$25,1,0)*'Оценка сложности задач'!$G$25)+(IF(C41='Оценка сложности задач'!$A$26,1,0)*IF(D41='Оценка сложности задач'!$B$26,1,0)*'Оценка сложности задач'!$G$26)+(IF(C41='Оценка сложности задач'!$A$27,1,0)*IF(D41='Оценка сложности задач'!$B$27,1,0)*'Оценка сложности задач'!$G$27)+(IF(C41='Оценка сложности задач'!$A$28,1,0)*IF(D41='Оценка сложности задач'!$B$28,1,0)*'Оценка сложности задач'!$G$28)+(IF(C41='Оценка сложности задач'!$A$29,1,0)*IF(D41='Оценка сложности задач'!$B$29,1,0)*'Оценка сложности задач'!$G$29)+(IF(C41='Оценка сложности задач'!$A$30,1,0)*IF(D41='Оценка сложности задач'!$B$30,1,0)*'Оценка сложности задач'!$G$30)+(IF(C41='Оценка сложности задач'!$A$31,1,0)*IF(D41='Оценка сложности задач'!$B$31,1,0)*'Оценка сложности задач'!$G$31)+(IF(C41='Оценка сложности задач'!$A$32,1,0)*IF(D41='Оценка сложности задач'!$B$32,1,0)*'Оценка сложности задач'!$G$32)+(IF(C41='Оценка сложности задач'!$A$33,1,0)*IF(D41='Оценка сложности задач'!$B$33,1,0)*'Оценка сложности задач'!$G$33)+(IF(C41='Оценка сложности задач'!$A$34,1,0)*IF(D41='Оценка сложности задач'!$B$34,1,0)*'Оценка сложности задач'!$G$34)+(IF(C41='Оценка сложности задач'!$A$35,1,0)*IF(D41='Оценка сложности задач'!$B$35,1,0)*'Оценка сложности задач'!$G$35)+(IF(C41='Оценка сложности задач'!$A$36,1,0)*IF(D41='Оценка сложности задач'!$B$36,1,0)*'Оценка сложности задач'!$G$36)+(IF(C41='Оценка сложности задач'!$A$37,1,0)*IF(D41='Оценка сложности задач'!$B$37,1,0)*'Оценка сложности задач'!$G$37)+(IF(C41='Оценка сложности задач'!$A$38,1,0)*IF(D41='Оценка сложности задач'!$B$38,1,0)*'Оценка сложности задач'!$G$38)+(IF(C41='Оценка сложности задач'!$A$39,1,0)*IF(D41='Оценка сложности задач'!$B$39,1,0)*'Оценка сложности задач'!$G$39)+(IF(C41='Оценка сложности задач'!$A$40,1,0)*IF(D41='Оценка сложности задач'!$B$40,1,0)*'Оценка сложности задач'!$G$40)</f>
        <v>0</v>
      </c>
      <c r="F41" s="49"/>
    </row>
    <row r="42" spans="1:6" x14ac:dyDescent="0.35">
      <c r="A42" s="54" t="s">
        <v>67</v>
      </c>
      <c r="B42" s="51"/>
      <c r="C42" s="56"/>
      <c r="D42" s="56"/>
      <c r="E42" s="56">
        <f>(IF(C42='Оценка сложности задач'!$A$2,1,0)*IF(D42='Оценка сложности задач'!$B$2,1,0)*'Оценка сложности задач'!$G$2)+(IF(C42='Оценка сложности задач'!$A$3,1,0)*IF(D42='Оценка сложности задач'!$B$3,1,0)*'Оценка сложности задач'!$G$3)+(IF(C42='Оценка сложности задач'!$A$4,1,0)*IF(D42='Оценка сложности задач'!$B$4,1,0)*'Оценка сложности задач'!$G$4)+(IF(C42='Оценка сложности задач'!$A$5,1,0)*IF(D42='Оценка сложности задач'!$B$5,1,0)*'Оценка сложности задач'!$G$5)+(IF(C42='Оценка сложности задач'!$A$6,1,0)*IF(D42='Оценка сложности задач'!$B$6,1,0)*'Оценка сложности задач'!$G$6)+(IF(C42='Оценка сложности задач'!$A$7,1,0)*IF(D42='Оценка сложности задач'!$B$7,1,0)*'Оценка сложности задач'!$G$7)+(IF(C42='Оценка сложности задач'!$A$8,1,0)*IF(D42='Оценка сложности задач'!$B$8,1,0)*'Оценка сложности задач'!$G$8)+(IF(C42='Оценка сложности задач'!$A$10,1,0)*IF(D42='Оценка сложности задач'!$B$10,1,0)*'Оценка сложности задач'!$G$10)+(IF(C42='Оценка сложности задач'!$A$9,1,0)*IF(D42='Оценка сложности задач'!$B$9,1,0)*'Оценка сложности задач'!$G$9)+ (IF(C42='Оценка сложности задач'!$A$11,1,0)*IF(D42='Оценка сложности задач'!$B$11,1,0)*'Оценка сложности задач'!$G$11) + (IF(C42='Оценка сложности задач'!$A$12,1,0)*IF(D42='Оценка сложности задач'!$B$12,1,0)*'Оценка сложности задач'!$G$12) + (IF(C42='Оценка сложности задач'!$A$13,1,0)*IF(D42='Оценка сложности задач'!$B$13,1,0)*'Оценка сложности задач'!$G$13) + (IF(C42='Оценка сложности задач'!$A$14,1,0)*IF(D42='Оценка сложности задач'!$B$14,1,0)*'Оценка сложности задач'!$G$14) + (IF(C42='Оценка сложности задач'!$A$15,1,0)*IF(D42='Оценка сложности задач'!$B$15,1,0)*'Оценка сложности задач'!$G$15) + (IF(C42='Оценка сложности задач'!$A$16,1,0)*IF(D42='Оценка сложности задач'!$B$16,1,0)*'Оценка сложности задач'!$G$16) + (IF(C42='Оценка сложности задач'!$A$17,1,0)*IF(D42='Оценка сложности задач'!$B$17,1,0)*'Оценка сложности задач'!$G$17) + (IF(C42='Оценка сложности задач'!$A$18,1,0)*IF(D42='Оценка сложности задач'!$B$18,1,0)*'Оценка сложности задач'!$G$18) + (IF(C42='Оценка сложности задач'!$A$19,1,0)*IF(D42='Оценка сложности задач'!$B$19,1,0)*'Оценка сложности задач'!$G$19)+(IF(C42='Оценка сложности задач'!$A$20,1,0)*IF(D42='Оценка сложности задач'!$B$20,1,0)*'Оценка сложности задач'!$G$20)+(IF(C42='Оценка сложности задач'!$A$21,1,0)*IF(D42='Оценка сложности задач'!$B$21,1,0)*'Оценка сложности задач'!$G$21)+(IF(C42='Оценка сложности задач'!$A$22,1,0)*IF(D42='Оценка сложности задач'!$B$22,1,0)*'Оценка сложности задач'!$G$22)+(IF(C42='Оценка сложности задач'!$A$23,1,0)*IF(D42='Оценка сложности задач'!$B$23,1,0)*'Оценка сложности задач'!$G$23)+(IF(C42='Оценка сложности задач'!$A$24,1,0)*IF(D42='Оценка сложности задач'!$B$24,1,0)*'Оценка сложности задач'!$G$24)+(IF(C42='Оценка сложности задач'!$A$25,1,0)*IF(D42='Оценка сложности задач'!$B$25,1,0)*'Оценка сложности задач'!$G$25)+(IF(C42='Оценка сложности задач'!$A$26,1,0)*IF(D42='Оценка сложности задач'!$B$26,1,0)*'Оценка сложности задач'!$G$26)+(IF(C42='Оценка сложности задач'!$A$27,1,0)*IF(D42='Оценка сложности задач'!$B$27,1,0)*'Оценка сложности задач'!$G$27)+(IF(C42='Оценка сложности задач'!$A$28,1,0)*IF(D42='Оценка сложности задач'!$B$28,1,0)*'Оценка сложности задач'!$G$28)+(IF(C42='Оценка сложности задач'!$A$29,1,0)*IF(D42='Оценка сложности задач'!$B$29,1,0)*'Оценка сложности задач'!$G$29)+(IF(C42='Оценка сложности задач'!$A$30,1,0)*IF(D42='Оценка сложности задач'!$B$30,1,0)*'Оценка сложности задач'!$G$30)+(IF(C42='Оценка сложности задач'!$A$31,1,0)*IF(D42='Оценка сложности задач'!$B$31,1,0)*'Оценка сложности задач'!$G$31)+(IF(C42='Оценка сложности задач'!$A$32,1,0)*IF(D42='Оценка сложности задач'!$B$32,1,0)*'Оценка сложности задач'!$G$32)+(IF(C42='Оценка сложности задач'!$A$33,1,0)*IF(D42='Оценка сложности задач'!$B$33,1,0)*'Оценка сложности задач'!$G$33)+(IF(C42='Оценка сложности задач'!$A$34,1,0)*IF(D42='Оценка сложности задач'!$B$34,1,0)*'Оценка сложности задач'!$G$34)+(IF(C42='Оценка сложности задач'!$A$35,1,0)*IF(D42='Оценка сложности задач'!$B$35,1,0)*'Оценка сложности задач'!$G$35)+(IF(C42='Оценка сложности задач'!$A$36,1,0)*IF(D42='Оценка сложности задач'!$B$36,1,0)*'Оценка сложности задач'!$G$36)+(IF(C42='Оценка сложности задач'!$A$37,1,0)*IF(D42='Оценка сложности задач'!$B$37,1,0)*'Оценка сложности задач'!$G$37)+(IF(C42='Оценка сложности задач'!$A$38,1,0)*IF(D42='Оценка сложности задач'!$B$38,1,0)*'Оценка сложности задач'!$G$38)+(IF(C42='Оценка сложности задач'!$A$39,1,0)*IF(D42='Оценка сложности задач'!$B$39,1,0)*'Оценка сложности задач'!$G$39)+(IF(C42='Оценка сложности задач'!$A$40,1,0)*IF(D42='Оценка сложности задач'!$B$40,1,0)*'Оценка сложности задач'!$G$40)</f>
        <v>0</v>
      </c>
      <c r="F42" s="49"/>
    </row>
    <row r="43" spans="1:6" x14ac:dyDescent="0.35">
      <c r="A43" s="54" t="s">
        <v>68</v>
      </c>
      <c r="B43" s="51"/>
      <c r="C43" s="56"/>
      <c r="D43" s="56"/>
      <c r="E43" s="56">
        <f>(IF(C43='Оценка сложности задач'!$A$2,1,0)*IF(D43='Оценка сложности задач'!$B$2,1,0)*'Оценка сложности задач'!$G$2)+(IF(C43='Оценка сложности задач'!$A$3,1,0)*IF(D43='Оценка сложности задач'!$B$3,1,0)*'Оценка сложности задач'!$G$3)+(IF(C43='Оценка сложности задач'!$A$4,1,0)*IF(D43='Оценка сложности задач'!$B$4,1,0)*'Оценка сложности задач'!$G$4)+(IF(C43='Оценка сложности задач'!$A$5,1,0)*IF(D43='Оценка сложности задач'!$B$5,1,0)*'Оценка сложности задач'!$G$5)+(IF(C43='Оценка сложности задач'!$A$6,1,0)*IF(D43='Оценка сложности задач'!$B$6,1,0)*'Оценка сложности задач'!$G$6)+(IF(C43='Оценка сложности задач'!$A$7,1,0)*IF(D43='Оценка сложности задач'!$B$7,1,0)*'Оценка сложности задач'!$G$7)+(IF(C43='Оценка сложности задач'!$A$8,1,0)*IF(D43='Оценка сложности задач'!$B$8,1,0)*'Оценка сложности задач'!$G$8)+(IF(C43='Оценка сложности задач'!$A$10,1,0)*IF(D43='Оценка сложности задач'!$B$10,1,0)*'Оценка сложности задач'!$G$10)+(IF(C43='Оценка сложности задач'!$A$9,1,0)*IF(D43='Оценка сложности задач'!$B$9,1,0)*'Оценка сложности задач'!$G$9)+ (IF(C43='Оценка сложности задач'!$A$11,1,0)*IF(D43='Оценка сложности задач'!$B$11,1,0)*'Оценка сложности задач'!$G$11) + (IF(C43='Оценка сложности задач'!$A$12,1,0)*IF(D43='Оценка сложности задач'!$B$12,1,0)*'Оценка сложности задач'!$G$12) + (IF(C43='Оценка сложности задач'!$A$13,1,0)*IF(D43='Оценка сложности задач'!$B$13,1,0)*'Оценка сложности задач'!$G$13) + (IF(C43='Оценка сложности задач'!$A$14,1,0)*IF(D43='Оценка сложности задач'!$B$14,1,0)*'Оценка сложности задач'!$G$14) + (IF(C43='Оценка сложности задач'!$A$15,1,0)*IF(D43='Оценка сложности задач'!$B$15,1,0)*'Оценка сложности задач'!$G$15) + (IF(C43='Оценка сложности задач'!$A$16,1,0)*IF(D43='Оценка сложности задач'!$B$16,1,0)*'Оценка сложности задач'!$G$16) + (IF(C43='Оценка сложности задач'!$A$17,1,0)*IF(D43='Оценка сложности задач'!$B$17,1,0)*'Оценка сложности задач'!$G$17) + (IF(C43='Оценка сложности задач'!$A$18,1,0)*IF(D43='Оценка сложности задач'!$B$18,1,0)*'Оценка сложности задач'!$G$18) + (IF(C43='Оценка сложности задач'!$A$19,1,0)*IF(D43='Оценка сложности задач'!$B$19,1,0)*'Оценка сложности задач'!$G$19)+(IF(C43='Оценка сложности задач'!$A$20,1,0)*IF(D43='Оценка сложности задач'!$B$20,1,0)*'Оценка сложности задач'!$G$20)+(IF(C43='Оценка сложности задач'!$A$21,1,0)*IF(D43='Оценка сложности задач'!$B$21,1,0)*'Оценка сложности задач'!$G$21)+(IF(C43='Оценка сложности задач'!$A$22,1,0)*IF(D43='Оценка сложности задач'!$B$22,1,0)*'Оценка сложности задач'!$G$22)+(IF(C43='Оценка сложности задач'!$A$23,1,0)*IF(D43='Оценка сложности задач'!$B$23,1,0)*'Оценка сложности задач'!$G$23)+(IF(C43='Оценка сложности задач'!$A$24,1,0)*IF(D43='Оценка сложности задач'!$B$24,1,0)*'Оценка сложности задач'!$G$24)+(IF(C43='Оценка сложности задач'!$A$25,1,0)*IF(D43='Оценка сложности задач'!$B$25,1,0)*'Оценка сложности задач'!$G$25)+(IF(C43='Оценка сложности задач'!$A$26,1,0)*IF(D43='Оценка сложности задач'!$B$26,1,0)*'Оценка сложности задач'!$G$26)+(IF(C43='Оценка сложности задач'!$A$27,1,0)*IF(D43='Оценка сложности задач'!$B$27,1,0)*'Оценка сложности задач'!$G$27)+(IF(C43='Оценка сложности задач'!$A$28,1,0)*IF(D43='Оценка сложности задач'!$B$28,1,0)*'Оценка сложности задач'!$G$28)+(IF(C43='Оценка сложности задач'!$A$29,1,0)*IF(D43='Оценка сложности задач'!$B$29,1,0)*'Оценка сложности задач'!$G$29)+(IF(C43='Оценка сложности задач'!$A$30,1,0)*IF(D43='Оценка сложности задач'!$B$30,1,0)*'Оценка сложности задач'!$G$30)+(IF(C43='Оценка сложности задач'!$A$31,1,0)*IF(D43='Оценка сложности задач'!$B$31,1,0)*'Оценка сложности задач'!$G$31)+(IF(C43='Оценка сложности задач'!$A$32,1,0)*IF(D43='Оценка сложности задач'!$B$32,1,0)*'Оценка сложности задач'!$G$32)+(IF(C43='Оценка сложности задач'!$A$33,1,0)*IF(D43='Оценка сложности задач'!$B$33,1,0)*'Оценка сложности задач'!$G$33)+(IF(C43='Оценка сложности задач'!$A$34,1,0)*IF(D43='Оценка сложности задач'!$B$34,1,0)*'Оценка сложности задач'!$G$34)+(IF(C43='Оценка сложности задач'!$A$35,1,0)*IF(D43='Оценка сложности задач'!$B$35,1,0)*'Оценка сложности задач'!$G$35)+(IF(C43='Оценка сложности задач'!$A$36,1,0)*IF(D43='Оценка сложности задач'!$B$36,1,0)*'Оценка сложности задач'!$G$36)+(IF(C43='Оценка сложности задач'!$A$37,1,0)*IF(D43='Оценка сложности задач'!$B$37,1,0)*'Оценка сложности задач'!$G$37)+(IF(C43='Оценка сложности задач'!$A$38,1,0)*IF(D43='Оценка сложности задач'!$B$38,1,0)*'Оценка сложности задач'!$G$38)+(IF(C43='Оценка сложности задач'!$A$39,1,0)*IF(D43='Оценка сложности задач'!$B$39,1,0)*'Оценка сложности задач'!$G$39)+(IF(C43='Оценка сложности задач'!$A$40,1,0)*IF(D43='Оценка сложности задач'!$B$40,1,0)*'Оценка сложности задач'!$G$40)</f>
        <v>0</v>
      </c>
      <c r="F43" s="49"/>
    </row>
    <row r="44" spans="1:6" x14ac:dyDescent="0.35">
      <c r="A44" s="54" t="s">
        <v>69</v>
      </c>
      <c r="B44" s="50"/>
      <c r="C44" s="56"/>
      <c r="D44" s="56"/>
      <c r="E44" s="56">
        <f>(IF(C44='Оценка сложности задач'!$A$2,1,0)*IF(D44='Оценка сложности задач'!$B$2,1,0)*'Оценка сложности задач'!$G$2)+(IF(C44='Оценка сложности задач'!$A$3,1,0)*IF(D44='Оценка сложности задач'!$B$3,1,0)*'Оценка сложности задач'!$G$3)+(IF(C44='Оценка сложности задач'!$A$4,1,0)*IF(D44='Оценка сложности задач'!$B$4,1,0)*'Оценка сложности задач'!$G$4)+(IF(C44='Оценка сложности задач'!$A$5,1,0)*IF(D44='Оценка сложности задач'!$B$5,1,0)*'Оценка сложности задач'!$G$5)+(IF(C44='Оценка сложности задач'!$A$6,1,0)*IF(D44='Оценка сложности задач'!$B$6,1,0)*'Оценка сложности задач'!$G$6)+(IF(C44='Оценка сложности задач'!$A$7,1,0)*IF(D44='Оценка сложности задач'!$B$7,1,0)*'Оценка сложности задач'!$G$7)+(IF(C44='Оценка сложности задач'!$A$8,1,0)*IF(D44='Оценка сложности задач'!$B$8,1,0)*'Оценка сложности задач'!$G$8)+(IF(C44='Оценка сложности задач'!$A$10,1,0)*IF(D44='Оценка сложности задач'!$B$10,1,0)*'Оценка сложности задач'!$G$10)+(IF(C44='Оценка сложности задач'!$A$9,1,0)*IF(D44='Оценка сложности задач'!$B$9,1,0)*'Оценка сложности задач'!$G$9)+ (IF(C44='Оценка сложности задач'!$A$11,1,0)*IF(D44='Оценка сложности задач'!$B$11,1,0)*'Оценка сложности задач'!$G$11) + (IF(C44='Оценка сложности задач'!$A$12,1,0)*IF(D44='Оценка сложности задач'!$B$12,1,0)*'Оценка сложности задач'!$G$12) + (IF(C44='Оценка сложности задач'!$A$13,1,0)*IF(D44='Оценка сложности задач'!$B$13,1,0)*'Оценка сложности задач'!$G$13) + (IF(C44='Оценка сложности задач'!$A$14,1,0)*IF(D44='Оценка сложности задач'!$B$14,1,0)*'Оценка сложности задач'!$G$14) + (IF(C44='Оценка сложности задач'!$A$15,1,0)*IF(D44='Оценка сложности задач'!$B$15,1,0)*'Оценка сложности задач'!$G$15) + (IF(C44='Оценка сложности задач'!$A$16,1,0)*IF(D44='Оценка сложности задач'!$B$16,1,0)*'Оценка сложности задач'!$G$16) + (IF(C44='Оценка сложности задач'!$A$17,1,0)*IF(D44='Оценка сложности задач'!$B$17,1,0)*'Оценка сложности задач'!$G$17) + (IF(C44='Оценка сложности задач'!$A$18,1,0)*IF(D44='Оценка сложности задач'!$B$18,1,0)*'Оценка сложности задач'!$G$18) + (IF(C44='Оценка сложности задач'!$A$19,1,0)*IF(D44='Оценка сложности задач'!$B$19,1,0)*'Оценка сложности задач'!$G$19)+(IF(C44='Оценка сложности задач'!$A$20,1,0)*IF(D44='Оценка сложности задач'!$B$20,1,0)*'Оценка сложности задач'!$G$20)+(IF(C44='Оценка сложности задач'!$A$21,1,0)*IF(D44='Оценка сложности задач'!$B$21,1,0)*'Оценка сложности задач'!$G$21)+(IF(C44='Оценка сложности задач'!$A$22,1,0)*IF(D44='Оценка сложности задач'!$B$22,1,0)*'Оценка сложности задач'!$G$22)+(IF(C44='Оценка сложности задач'!$A$23,1,0)*IF(D44='Оценка сложности задач'!$B$23,1,0)*'Оценка сложности задач'!$G$23)+(IF(C44='Оценка сложности задач'!$A$24,1,0)*IF(D44='Оценка сложности задач'!$B$24,1,0)*'Оценка сложности задач'!$G$24)+(IF(C44='Оценка сложности задач'!$A$25,1,0)*IF(D44='Оценка сложности задач'!$B$25,1,0)*'Оценка сложности задач'!$G$25)+(IF(C44='Оценка сложности задач'!$A$26,1,0)*IF(D44='Оценка сложности задач'!$B$26,1,0)*'Оценка сложности задач'!$G$26)+(IF(C44='Оценка сложности задач'!$A$27,1,0)*IF(D44='Оценка сложности задач'!$B$27,1,0)*'Оценка сложности задач'!$G$27)+(IF(C44='Оценка сложности задач'!$A$28,1,0)*IF(D44='Оценка сложности задач'!$B$28,1,0)*'Оценка сложности задач'!$G$28)+(IF(C44='Оценка сложности задач'!$A$29,1,0)*IF(D44='Оценка сложности задач'!$B$29,1,0)*'Оценка сложности задач'!$G$29)+(IF(C44='Оценка сложности задач'!$A$30,1,0)*IF(D44='Оценка сложности задач'!$B$30,1,0)*'Оценка сложности задач'!$G$30)+(IF(C44='Оценка сложности задач'!$A$31,1,0)*IF(D44='Оценка сложности задач'!$B$31,1,0)*'Оценка сложности задач'!$G$31)+(IF(C44='Оценка сложности задач'!$A$32,1,0)*IF(D44='Оценка сложности задач'!$B$32,1,0)*'Оценка сложности задач'!$G$32)+(IF(C44='Оценка сложности задач'!$A$33,1,0)*IF(D44='Оценка сложности задач'!$B$33,1,0)*'Оценка сложности задач'!$G$33)+(IF(C44='Оценка сложности задач'!$A$34,1,0)*IF(D44='Оценка сложности задач'!$B$34,1,0)*'Оценка сложности задач'!$G$34)+(IF(C44='Оценка сложности задач'!$A$35,1,0)*IF(D44='Оценка сложности задач'!$B$35,1,0)*'Оценка сложности задач'!$G$35)+(IF(C44='Оценка сложности задач'!$A$36,1,0)*IF(D44='Оценка сложности задач'!$B$36,1,0)*'Оценка сложности задач'!$G$36)+(IF(C44='Оценка сложности задач'!$A$37,1,0)*IF(D44='Оценка сложности задач'!$B$37,1,0)*'Оценка сложности задач'!$G$37)+(IF(C44='Оценка сложности задач'!$A$38,1,0)*IF(D44='Оценка сложности задач'!$B$38,1,0)*'Оценка сложности задач'!$G$38)+(IF(C44='Оценка сложности задач'!$A$39,1,0)*IF(D44='Оценка сложности задач'!$B$39,1,0)*'Оценка сложности задач'!$G$39)+(IF(C44='Оценка сложности задач'!$A$40,1,0)*IF(D44='Оценка сложности задач'!$B$40,1,0)*'Оценка сложности задач'!$G$40)</f>
        <v>0</v>
      </c>
      <c r="F44" s="49"/>
    </row>
    <row r="45" spans="1:6" x14ac:dyDescent="0.35">
      <c r="A45" s="54" t="s">
        <v>70</v>
      </c>
      <c r="B45" s="50"/>
      <c r="C45" s="56"/>
      <c r="D45" s="56"/>
      <c r="E45" s="56">
        <f>(IF(C45='Оценка сложности задач'!$A$2,1,0)*IF(D45='Оценка сложности задач'!$B$2,1,0)*'Оценка сложности задач'!$G$2)+(IF(C45='Оценка сложности задач'!$A$3,1,0)*IF(D45='Оценка сложности задач'!$B$3,1,0)*'Оценка сложности задач'!$G$3)+(IF(C45='Оценка сложности задач'!$A$4,1,0)*IF(D45='Оценка сложности задач'!$B$4,1,0)*'Оценка сложности задач'!$G$4)+(IF(C45='Оценка сложности задач'!$A$5,1,0)*IF(D45='Оценка сложности задач'!$B$5,1,0)*'Оценка сложности задач'!$G$5)+(IF(C45='Оценка сложности задач'!$A$6,1,0)*IF(D45='Оценка сложности задач'!$B$6,1,0)*'Оценка сложности задач'!$G$6)+(IF(C45='Оценка сложности задач'!$A$7,1,0)*IF(D45='Оценка сложности задач'!$B$7,1,0)*'Оценка сложности задач'!$G$7)+(IF(C45='Оценка сложности задач'!$A$8,1,0)*IF(D45='Оценка сложности задач'!$B$8,1,0)*'Оценка сложности задач'!$G$8)+(IF(C45='Оценка сложности задач'!$A$10,1,0)*IF(D45='Оценка сложности задач'!$B$10,1,0)*'Оценка сложности задач'!$G$10)+(IF(C45='Оценка сложности задач'!$A$9,1,0)*IF(D45='Оценка сложности задач'!$B$9,1,0)*'Оценка сложности задач'!$G$9)+ (IF(C45='Оценка сложности задач'!$A$11,1,0)*IF(D45='Оценка сложности задач'!$B$11,1,0)*'Оценка сложности задач'!$G$11) + (IF(C45='Оценка сложности задач'!$A$12,1,0)*IF(D45='Оценка сложности задач'!$B$12,1,0)*'Оценка сложности задач'!$G$12) + (IF(C45='Оценка сложности задач'!$A$13,1,0)*IF(D45='Оценка сложности задач'!$B$13,1,0)*'Оценка сложности задач'!$G$13) + (IF(C45='Оценка сложности задач'!$A$14,1,0)*IF(D45='Оценка сложности задач'!$B$14,1,0)*'Оценка сложности задач'!$G$14) + (IF(C45='Оценка сложности задач'!$A$15,1,0)*IF(D45='Оценка сложности задач'!$B$15,1,0)*'Оценка сложности задач'!$G$15) + (IF(C45='Оценка сложности задач'!$A$16,1,0)*IF(D45='Оценка сложности задач'!$B$16,1,0)*'Оценка сложности задач'!$G$16) + (IF(C45='Оценка сложности задач'!$A$17,1,0)*IF(D45='Оценка сложности задач'!$B$17,1,0)*'Оценка сложности задач'!$G$17) + (IF(C45='Оценка сложности задач'!$A$18,1,0)*IF(D45='Оценка сложности задач'!$B$18,1,0)*'Оценка сложности задач'!$G$18) + (IF(C45='Оценка сложности задач'!$A$19,1,0)*IF(D45='Оценка сложности задач'!$B$19,1,0)*'Оценка сложности задач'!$G$19)+(IF(C45='Оценка сложности задач'!$A$20,1,0)*IF(D45='Оценка сложности задач'!$B$20,1,0)*'Оценка сложности задач'!$G$20)+(IF(C45='Оценка сложности задач'!$A$21,1,0)*IF(D45='Оценка сложности задач'!$B$21,1,0)*'Оценка сложности задач'!$G$21)+(IF(C45='Оценка сложности задач'!$A$22,1,0)*IF(D45='Оценка сложности задач'!$B$22,1,0)*'Оценка сложности задач'!$G$22)+(IF(C45='Оценка сложности задач'!$A$23,1,0)*IF(D45='Оценка сложности задач'!$B$23,1,0)*'Оценка сложности задач'!$G$23)+(IF(C45='Оценка сложности задач'!$A$24,1,0)*IF(D45='Оценка сложности задач'!$B$24,1,0)*'Оценка сложности задач'!$G$24)+(IF(C45='Оценка сложности задач'!$A$25,1,0)*IF(D45='Оценка сложности задач'!$B$25,1,0)*'Оценка сложности задач'!$G$25)+(IF(C45='Оценка сложности задач'!$A$26,1,0)*IF(D45='Оценка сложности задач'!$B$26,1,0)*'Оценка сложности задач'!$G$26)+(IF(C45='Оценка сложности задач'!$A$27,1,0)*IF(D45='Оценка сложности задач'!$B$27,1,0)*'Оценка сложности задач'!$G$27)+(IF(C45='Оценка сложности задач'!$A$28,1,0)*IF(D45='Оценка сложности задач'!$B$28,1,0)*'Оценка сложности задач'!$G$28)+(IF(C45='Оценка сложности задач'!$A$29,1,0)*IF(D45='Оценка сложности задач'!$B$29,1,0)*'Оценка сложности задач'!$G$29)+(IF(C45='Оценка сложности задач'!$A$30,1,0)*IF(D45='Оценка сложности задач'!$B$30,1,0)*'Оценка сложности задач'!$G$30)+(IF(C45='Оценка сложности задач'!$A$31,1,0)*IF(D45='Оценка сложности задач'!$B$31,1,0)*'Оценка сложности задач'!$G$31)+(IF(C45='Оценка сложности задач'!$A$32,1,0)*IF(D45='Оценка сложности задач'!$B$32,1,0)*'Оценка сложности задач'!$G$32)+(IF(C45='Оценка сложности задач'!$A$33,1,0)*IF(D45='Оценка сложности задач'!$B$33,1,0)*'Оценка сложности задач'!$G$33)+(IF(C45='Оценка сложности задач'!$A$34,1,0)*IF(D45='Оценка сложности задач'!$B$34,1,0)*'Оценка сложности задач'!$G$34)+(IF(C45='Оценка сложности задач'!$A$35,1,0)*IF(D45='Оценка сложности задач'!$B$35,1,0)*'Оценка сложности задач'!$G$35)+(IF(C45='Оценка сложности задач'!$A$36,1,0)*IF(D45='Оценка сложности задач'!$B$36,1,0)*'Оценка сложности задач'!$G$36)+(IF(C45='Оценка сложности задач'!$A$37,1,0)*IF(D45='Оценка сложности задач'!$B$37,1,0)*'Оценка сложности задач'!$G$37)+(IF(C45='Оценка сложности задач'!$A$38,1,0)*IF(D45='Оценка сложности задач'!$B$38,1,0)*'Оценка сложности задач'!$G$38)+(IF(C45='Оценка сложности задач'!$A$39,1,0)*IF(D45='Оценка сложности задач'!$B$39,1,0)*'Оценка сложности задач'!$G$39)+(IF(C45='Оценка сложности задач'!$A$40,1,0)*IF(D45='Оценка сложности задач'!$B$40,1,0)*'Оценка сложности задач'!$G$40)</f>
        <v>0</v>
      </c>
      <c r="F45" s="49"/>
    </row>
    <row r="46" spans="1:6" x14ac:dyDescent="0.35">
      <c r="A46" s="54" t="s">
        <v>71</v>
      </c>
      <c r="B46" s="50"/>
      <c r="C46" s="56"/>
      <c r="D46" s="56"/>
      <c r="E46" s="56">
        <f>(IF(C46='Оценка сложности задач'!$A$2,1,0)*IF(D46='Оценка сложности задач'!$B$2,1,0)*'Оценка сложности задач'!$G$2)+(IF(C46='Оценка сложности задач'!$A$3,1,0)*IF(D46='Оценка сложности задач'!$B$3,1,0)*'Оценка сложности задач'!$G$3)+(IF(C46='Оценка сложности задач'!$A$4,1,0)*IF(D46='Оценка сложности задач'!$B$4,1,0)*'Оценка сложности задач'!$G$4)+(IF(C46='Оценка сложности задач'!$A$5,1,0)*IF(D46='Оценка сложности задач'!$B$5,1,0)*'Оценка сложности задач'!$G$5)+(IF(C46='Оценка сложности задач'!$A$6,1,0)*IF(D46='Оценка сложности задач'!$B$6,1,0)*'Оценка сложности задач'!$G$6)+(IF(C46='Оценка сложности задач'!$A$7,1,0)*IF(D46='Оценка сложности задач'!$B$7,1,0)*'Оценка сложности задач'!$G$7)+(IF(C46='Оценка сложности задач'!$A$8,1,0)*IF(D46='Оценка сложности задач'!$B$8,1,0)*'Оценка сложности задач'!$G$8)+(IF(C46='Оценка сложности задач'!$A$10,1,0)*IF(D46='Оценка сложности задач'!$B$10,1,0)*'Оценка сложности задач'!$G$10)+(IF(C46='Оценка сложности задач'!$A$9,1,0)*IF(D46='Оценка сложности задач'!$B$9,1,0)*'Оценка сложности задач'!$G$9)+ (IF(C46='Оценка сложности задач'!$A$11,1,0)*IF(D46='Оценка сложности задач'!$B$11,1,0)*'Оценка сложности задач'!$G$11) + (IF(C46='Оценка сложности задач'!$A$12,1,0)*IF(D46='Оценка сложности задач'!$B$12,1,0)*'Оценка сложности задач'!$G$12) + (IF(C46='Оценка сложности задач'!$A$13,1,0)*IF(D46='Оценка сложности задач'!$B$13,1,0)*'Оценка сложности задач'!$G$13) + (IF(C46='Оценка сложности задач'!$A$14,1,0)*IF(D46='Оценка сложности задач'!$B$14,1,0)*'Оценка сложности задач'!$G$14) + (IF(C46='Оценка сложности задач'!$A$15,1,0)*IF(D46='Оценка сложности задач'!$B$15,1,0)*'Оценка сложности задач'!$G$15) + (IF(C46='Оценка сложности задач'!$A$16,1,0)*IF(D46='Оценка сложности задач'!$B$16,1,0)*'Оценка сложности задач'!$G$16) + (IF(C46='Оценка сложности задач'!$A$17,1,0)*IF(D46='Оценка сложности задач'!$B$17,1,0)*'Оценка сложности задач'!$G$17) + (IF(C46='Оценка сложности задач'!$A$18,1,0)*IF(D46='Оценка сложности задач'!$B$18,1,0)*'Оценка сложности задач'!$G$18) + (IF(C46='Оценка сложности задач'!$A$19,1,0)*IF(D46='Оценка сложности задач'!$B$19,1,0)*'Оценка сложности задач'!$G$19)+(IF(C46='Оценка сложности задач'!$A$20,1,0)*IF(D46='Оценка сложности задач'!$B$20,1,0)*'Оценка сложности задач'!$G$20)+(IF(C46='Оценка сложности задач'!$A$21,1,0)*IF(D46='Оценка сложности задач'!$B$21,1,0)*'Оценка сложности задач'!$G$21)+(IF(C46='Оценка сложности задач'!$A$22,1,0)*IF(D46='Оценка сложности задач'!$B$22,1,0)*'Оценка сложности задач'!$G$22)+(IF(C46='Оценка сложности задач'!$A$23,1,0)*IF(D46='Оценка сложности задач'!$B$23,1,0)*'Оценка сложности задач'!$G$23)+(IF(C46='Оценка сложности задач'!$A$24,1,0)*IF(D46='Оценка сложности задач'!$B$24,1,0)*'Оценка сложности задач'!$G$24)+(IF(C46='Оценка сложности задач'!$A$25,1,0)*IF(D46='Оценка сложности задач'!$B$25,1,0)*'Оценка сложности задач'!$G$25)+(IF(C46='Оценка сложности задач'!$A$26,1,0)*IF(D46='Оценка сложности задач'!$B$26,1,0)*'Оценка сложности задач'!$G$26)+(IF(C46='Оценка сложности задач'!$A$27,1,0)*IF(D46='Оценка сложности задач'!$B$27,1,0)*'Оценка сложности задач'!$G$27)+(IF(C46='Оценка сложности задач'!$A$28,1,0)*IF(D46='Оценка сложности задач'!$B$28,1,0)*'Оценка сложности задач'!$G$28)+(IF(C46='Оценка сложности задач'!$A$29,1,0)*IF(D46='Оценка сложности задач'!$B$29,1,0)*'Оценка сложности задач'!$G$29)+(IF(C46='Оценка сложности задач'!$A$30,1,0)*IF(D46='Оценка сложности задач'!$B$30,1,0)*'Оценка сложности задач'!$G$30)+(IF(C46='Оценка сложности задач'!$A$31,1,0)*IF(D46='Оценка сложности задач'!$B$31,1,0)*'Оценка сложности задач'!$G$31)+(IF(C46='Оценка сложности задач'!$A$32,1,0)*IF(D46='Оценка сложности задач'!$B$32,1,0)*'Оценка сложности задач'!$G$32)+(IF(C46='Оценка сложности задач'!$A$33,1,0)*IF(D46='Оценка сложности задач'!$B$33,1,0)*'Оценка сложности задач'!$G$33)+(IF(C46='Оценка сложности задач'!$A$34,1,0)*IF(D46='Оценка сложности задач'!$B$34,1,0)*'Оценка сложности задач'!$G$34)+(IF(C46='Оценка сложности задач'!$A$35,1,0)*IF(D46='Оценка сложности задач'!$B$35,1,0)*'Оценка сложности задач'!$G$35)+(IF(C46='Оценка сложности задач'!$A$36,1,0)*IF(D46='Оценка сложности задач'!$B$36,1,0)*'Оценка сложности задач'!$G$36)+(IF(C46='Оценка сложности задач'!$A$37,1,0)*IF(D46='Оценка сложности задач'!$B$37,1,0)*'Оценка сложности задач'!$G$37)+(IF(C46='Оценка сложности задач'!$A$38,1,0)*IF(D46='Оценка сложности задач'!$B$38,1,0)*'Оценка сложности задач'!$G$38)+(IF(C46='Оценка сложности задач'!$A$39,1,0)*IF(D46='Оценка сложности задач'!$B$39,1,0)*'Оценка сложности задач'!$G$39)+(IF(C46='Оценка сложности задач'!$A$40,1,0)*IF(D46='Оценка сложности задач'!$B$40,1,0)*'Оценка сложности задач'!$G$40)</f>
        <v>0</v>
      </c>
      <c r="F46" s="49"/>
    </row>
    <row r="47" spans="1:6" x14ac:dyDescent="0.35">
      <c r="A47" s="54" t="s">
        <v>72</v>
      </c>
      <c r="B47" s="50"/>
      <c r="C47" s="56"/>
      <c r="D47" s="56"/>
      <c r="E47" s="56">
        <f>(IF(C47='Оценка сложности задач'!$A$2,1,0)*IF(D47='Оценка сложности задач'!$B$2,1,0)*'Оценка сложности задач'!$G$2)+(IF(C47='Оценка сложности задач'!$A$3,1,0)*IF(D47='Оценка сложности задач'!$B$3,1,0)*'Оценка сложности задач'!$G$3)+(IF(C47='Оценка сложности задач'!$A$4,1,0)*IF(D47='Оценка сложности задач'!$B$4,1,0)*'Оценка сложности задач'!$G$4)+(IF(C47='Оценка сложности задач'!$A$5,1,0)*IF(D47='Оценка сложности задач'!$B$5,1,0)*'Оценка сложности задач'!$G$5)+(IF(C47='Оценка сложности задач'!$A$6,1,0)*IF(D47='Оценка сложности задач'!$B$6,1,0)*'Оценка сложности задач'!$G$6)+(IF(C47='Оценка сложности задач'!$A$7,1,0)*IF(D47='Оценка сложности задач'!$B$7,1,0)*'Оценка сложности задач'!$G$7)+(IF(C47='Оценка сложности задач'!$A$8,1,0)*IF(D47='Оценка сложности задач'!$B$8,1,0)*'Оценка сложности задач'!$G$8)+(IF(C47='Оценка сложности задач'!$A$10,1,0)*IF(D47='Оценка сложности задач'!$B$10,1,0)*'Оценка сложности задач'!$G$10)+(IF(C47='Оценка сложности задач'!$A$9,1,0)*IF(D47='Оценка сложности задач'!$B$9,1,0)*'Оценка сложности задач'!$G$9)+ (IF(C47='Оценка сложности задач'!$A$11,1,0)*IF(D47='Оценка сложности задач'!$B$11,1,0)*'Оценка сложности задач'!$G$11) + (IF(C47='Оценка сложности задач'!$A$12,1,0)*IF(D47='Оценка сложности задач'!$B$12,1,0)*'Оценка сложности задач'!$G$12) + (IF(C47='Оценка сложности задач'!$A$13,1,0)*IF(D47='Оценка сложности задач'!$B$13,1,0)*'Оценка сложности задач'!$G$13) + (IF(C47='Оценка сложности задач'!$A$14,1,0)*IF(D47='Оценка сложности задач'!$B$14,1,0)*'Оценка сложности задач'!$G$14) + (IF(C47='Оценка сложности задач'!$A$15,1,0)*IF(D47='Оценка сложности задач'!$B$15,1,0)*'Оценка сложности задач'!$G$15) + (IF(C47='Оценка сложности задач'!$A$16,1,0)*IF(D47='Оценка сложности задач'!$B$16,1,0)*'Оценка сложности задач'!$G$16) + (IF(C47='Оценка сложности задач'!$A$17,1,0)*IF(D47='Оценка сложности задач'!$B$17,1,0)*'Оценка сложности задач'!$G$17) + (IF(C47='Оценка сложности задач'!$A$18,1,0)*IF(D47='Оценка сложности задач'!$B$18,1,0)*'Оценка сложности задач'!$G$18) + (IF(C47='Оценка сложности задач'!$A$19,1,0)*IF(D47='Оценка сложности задач'!$B$19,1,0)*'Оценка сложности задач'!$G$19)+(IF(C47='Оценка сложности задач'!$A$20,1,0)*IF(D47='Оценка сложности задач'!$B$20,1,0)*'Оценка сложности задач'!$G$20)+(IF(C47='Оценка сложности задач'!$A$21,1,0)*IF(D47='Оценка сложности задач'!$B$21,1,0)*'Оценка сложности задач'!$G$21)+(IF(C47='Оценка сложности задач'!$A$22,1,0)*IF(D47='Оценка сложности задач'!$B$22,1,0)*'Оценка сложности задач'!$G$22)+(IF(C47='Оценка сложности задач'!$A$23,1,0)*IF(D47='Оценка сложности задач'!$B$23,1,0)*'Оценка сложности задач'!$G$23)+(IF(C47='Оценка сложности задач'!$A$24,1,0)*IF(D47='Оценка сложности задач'!$B$24,1,0)*'Оценка сложности задач'!$G$24)+(IF(C47='Оценка сложности задач'!$A$25,1,0)*IF(D47='Оценка сложности задач'!$B$25,1,0)*'Оценка сложности задач'!$G$25)+(IF(C47='Оценка сложности задач'!$A$26,1,0)*IF(D47='Оценка сложности задач'!$B$26,1,0)*'Оценка сложности задач'!$G$26)+(IF(C47='Оценка сложности задач'!$A$27,1,0)*IF(D47='Оценка сложности задач'!$B$27,1,0)*'Оценка сложности задач'!$G$27)+(IF(C47='Оценка сложности задач'!$A$28,1,0)*IF(D47='Оценка сложности задач'!$B$28,1,0)*'Оценка сложности задач'!$G$28)+(IF(C47='Оценка сложности задач'!$A$29,1,0)*IF(D47='Оценка сложности задач'!$B$29,1,0)*'Оценка сложности задач'!$G$29)+(IF(C47='Оценка сложности задач'!$A$30,1,0)*IF(D47='Оценка сложности задач'!$B$30,1,0)*'Оценка сложности задач'!$G$30)+(IF(C47='Оценка сложности задач'!$A$31,1,0)*IF(D47='Оценка сложности задач'!$B$31,1,0)*'Оценка сложности задач'!$G$31)+(IF(C47='Оценка сложности задач'!$A$32,1,0)*IF(D47='Оценка сложности задач'!$B$32,1,0)*'Оценка сложности задач'!$G$32)+(IF(C47='Оценка сложности задач'!$A$33,1,0)*IF(D47='Оценка сложности задач'!$B$33,1,0)*'Оценка сложности задач'!$G$33)+(IF(C47='Оценка сложности задач'!$A$34,1,0)*IF(D47='Оценка сложности задач'!$B$34,1,0)*'Оценка сложности задач'!$G$34)+(IF(C47='Оценка сложности задач'!$A$35,1,0)*IF(D47='Оценка сложности задач'!$B$35,1,0)*'Оценка сложности задач'!$G$35)+(IF(C47='Оценка сложности задач'!$A$36,1,0)*IF(D47='Оценка сложности задач'!$B$36,1,0)*'Оценка сложности задач'!$G$36)+(IF(C47='Оценка сложности задач'!$A$37,1,0)*IF(D47='Оценка сложности задач'!$B$37,1,0)*'Оценка сложности задач'!$G$37)+(IF(C47='Оценка сложности задач'!$A$38,1,0)*IF(D47='Оценка сложности задач'!$B$38,1,0)*'Оценка сложности задач'!$G$38)+(IF(C47='Оценка сложности задач'!$A$39,1,0)*IF(D47='Оценка сложности задач'!$B$39,1,0)*'Оценка сложности задач'!$G$39)+(IF(C47='Оценка сложности задач'!$A$40,1,0)*IF(D47='Оценка сложности задач'!$B$40,1,0)*'Оценка сложности задач'!$G$40)</f>
        <v>0</v>
      </c>
      <c r="F47" s="49"/>
    </row>
    <row r="48" spans="1:6" x14ac:dyDescent="0.35">
      <c r="A48" s="54" t="s">
        <v>73</v>
      </c>
      <c r="B48" s="50"/>
      <c r="C48" s="56"/>
      <c r="D48" s="56"/>
      <c r="E48" s="56">
        <f>(IF(C48='Оценка сложности задач'!$A$2,1,0)*IF(D48='Оценка сложности задач'!$B$2,1,0)*'Оценка сложности задач'!$G$2)+(IF(C48='Оценка сложности задач'!$A$3,1,0)*IF(D48='Оценка сложности задач'!$B$3,1,0)*'Оценка сложности задач'!$G$3)+(IF(C48='Оценка сложности задач'!$A$4,1,0)*IF(D48='Оценка сложности задач'!$B$4,1,0)*'Оценка сложности задач'!$G$4)+(IF(C48='Оценка сложности задач'!$A$5,1,0)*IF(D48='Оценка сложности задач'!$B$5,1,0)*'Оценка сложности задач'!$G$5)+(IF(C48='Оценка сложности задач'!$A$6,1,0)*IF(D48='Оценка сложности задач'!$B$6,1,0)*'Оценка сложности задач'!$G$6)+(IF(C48='Оценка сложности задач'!$A$7,1,0)*IF(D48='Оценка сложности задач'!$B$7,1,0)*'Оценка сложности задач'!$G$7)+(IF(C48='Оценка сложности задач'!$A$8,1,0)*IF(D48='Оценка сложности задач'!$B$8,1,0)*'Оценка сложности задач'!$G$8)+(IF(C48='Оценка сложности задач'!$A$10,1,0)*IF(D48='Оценка сложности задач'!$B$10,1,0)*'Оценка сложности задач'!$G$10)+(IF(C48='Оценка сложности задач'!$A$9,1,0)*IF(D48='Оценка сложности задач'!$B$9,1,0)*'Оценка сложности задач'!$G$9)+ (IF(C48='Оценка сложности задач'!$A$11,1,0)*IF(D48='Оценка сложности задач'!$B$11,1,0)*'Оценка сложности задач'!$G$11) + (IF(C48='Оценка сложности задач'!$A$12,1,0)*IF(D48='Оценка сложности задач'!$B$12,1,0)*'Оценка сложности задач'!$G$12) + (IF(C48='Оценка сложности задач'!$A$13,1,0)*IF(D48='Оценка сложности задач'!$B$13,1,0)*'Оценка сложности задач'!$G$13) + (IF(C48='Оценка сложности задач'!$A$14,1,0)*IF(D48='Оценка сложности задач'!$B$14,1,0)*'Оценка сложности задач'!$G$14) + (IF(C48='Оценка сложности задач'!$A$15,1,0)*IF(D48='Оценка сложности задач'!$B$15,1,0)*'Оценка сложности задач'!$G$15) + (IF(C48='Оценка сложности задач'!$A$16,1,0)*IF(D48='Оценка сложности задач'!$B$16,1,0)*'Оценка сложности задач'!$G$16) + (IF(C48='Оценка сложности задач'!$A$17,1,0)*IF(D48='Оценка сложности задач'!$B$17,1,0)*'Оценка сложности задач'!$G$17) + (IF(C48='Оценка сложности задач'!$A$18,1,0)*IF(D48='Оценка сложности задач'!$B$18,1,0)*'Оценка сложности задач'!$G$18) + (IF(C48='Оценка сложности задач'!$A$19,1,0)*IF(D48='Оценка сложности задач'!$B$19,1,0)*'Оценка сложности задач'!$G$19)+(IF(C48='Оценка сложности задач'!$A$20,1,0)*IF(D48='Оценка сложности задач'!$B$20,1,0)*'Оценка сложности задач'!$G$20)+(IF(C48='Оценка сложности задач'!$A$21,1,0)*IF(D48='Оценка сложности задач'!$B$21,1,0)*'Оценка сложности задач'!$G$21)+(IF(C48='Оценка сложности задач'!$A$22,1,0)*IF(D48='Оценка сложности задач'!$B$22,1,0)*'Оценка сложности задач'!$G$22)+(IF(C48='Оценка сложности задач'!$A$23,1,0)*IF(D48='Оценка сложности задач'!$B$23,1,0)*'Оценка сложности задач'!$G$23)+(IF(C48='Оценка сложности задач'!$A$24,1,0)*IF(D48='Оценка сложности задач'!$B$24,1,0)*'Оценка сложности задач'!$G$24)+(IF(C48='Оценка сложности задач'!$A$25,1,0)*IF(D48='Оценка сложности задач'!$B$25,1,0)*'Оценка сложности задач'!$G$25)+(IF(C48='Оценка сложности задач'!$A$26,1,0)*IF(D48='Оценка сложности задач'!$B$26,1,0)*'Оценка сложности задач'!$G$26)+(IF(C48='Оценка сложности задач'!$A$27,1,0)*IF(D48='Оценка сложности задач'!$B$27,1,0)*'Оценка сложности задач'!$G$27)+(IF(C48='Оценка сложности задач'!$A$28,1,0)*IF(D48='Оценка сложности задач'!$B$28,1,0)*'Оценка сложности задач'!$G$28)+(IF(C48='Оценка сложности задач'!$A$29,1,0)*IF(D48='Оценка сложности задач'!$B$29,1,0)*'Оценка сложности задач'!$G$29)+(IF(C48='Оценка сложности задач'!$A$30,1,0)*IF(D48='Оценка сложности задач'!$B$30,1,0)*'Оценка сложности задач'!$G$30)+(IF(C48='Оценка сложности задач'!$A$31,1,0)*IF(D48='Оценка сложности задач'!$B$31,1,0)*'Оценка сложности задач'!$G$31)+(IF(C48='Оценка сложности задач'!$A$32,1,0)*IF(D48='Оценка сложности задач'!$B$32,1,0)*'Оценка сложности задач'!$G$32)+(IF(C48='Оценка сложности задач'!$A$33,1,0)*IF(D48='Оценка сложности задач'!$B$33,1,0)*'Оценка сложности задач'!$G$33)+(IF(C48='Оценка сложности задач'!$A$34,1,0)*IF(D48='Оценка сложности задач'!$B$34,1,0)*'Оценка сложности задач'!$G$34)+(IF(C48='Оценка сложности задач'!$A$35,1,0)*IF(D48='Оценка сложности задач'!$B$35,1,0)*'Оценка сложности задач'!$G$35)+(IF(C48='Оценка сложности задач'!$A$36,1,0)*IF(D48='Оценка сложности задач'!$B$36,1,0)*'Оценка сложности задач'!$G$36)+(IF(C48='Оценка сложности задач'!$A$37,1,0)*IF(D48='Оценка сложности задач'!$B$37,1,0)*'Оценка сложности задач'!$G$37)+(IF(C48='Оценка сложности задач'!$A$38,1,0)*IF(D48='Оценка сложности задач'!$B$38,1,0)*'Оценка сложности задач'!$G$38)+(IF(C48='Оценка сложности задач'!$A$39,1,0)*IF(D48='Оценка сложности задач'!$B$39,1,0)*'Оценка сложности задач'!$G$39)+(IF(C48='Оценка сложности задач'!$A$40,1,0)*IF(D48='Оценка сложности задач'!$B$40,1,0)*'Оценка сложности задач'!$G$40)</f>
        <v>0</v>
      </c>
      <c r="F48" s="49"/>
    </row>
    <row r="49" spans="1:6" x14ac:dyDescent="0.35">
      <c r="A49" s="54" t="s">
        <v>74</v>
      </c>
      <c r="B49" s="50"/>
      <c r="C49" s="56"/>
      <c r="D49" s="56"/>
      <c r="E49" s="56">
        <f>(IF(C49='Оценка сложности задач'!$A$2,1,0)*IF(D49='Оценка сложности задач'!$B$2,1,0)*'Оценка сложности задач'!$G$2)+(IF(C49='Оценка сложности задач'!$A$3,1,0)*IF(D49='Оценка сложности задач'!$B$3,1,0)*'Оценка сложности задач'!$G$3)+(IF(C49='Оценка сложности задач'!$A$4,1,0)*IF(D49='Оценка сложности задач'!$B$4,1,0)*'Оценка сложности задач'!$G$4)+(IF(C49='Оценка сложности задач'!$A$5,1,0)*IF(D49='Оценка сложности задач'!$B$5,1,0)*'Оценка сложности задач'!$G$5)+(IF(C49='Оценка сложности задач'!$A$6,1,0)*IF(D49='Оценка сложности задач'!$B$6,1,0)*'Оценка сложности задач'!$G$6)+(IF(C49='Оценка сложности задач'!$A$7,1,0)*IF(D49='Оценка сложности задач'!$B$7,1,0)*'Оценка сложности задач'!$G$7)+(IF(C49='Оценка сложности задач'!$A$8,1,0)*IF(D49='Оценка сложности задач'!$B$8,1,0)*'Оценка сложности задач'!$G$8)+(IF(C49='Оценка сложности задач'!$A$10,1,0)*IF(D49='Оценка сложности задач'!$B$10,1,0)*'Оценка сложности задач'!$G$10)+(IF(C49='Оценка сложности задач'!$A$9,1,0)*IF(D49='Оценка сложности задач'!$B$9,1,0)*'Оценка сложности задач'!$G$9)+ (IF(C49='Оценка сложности задач'!$A$11,1,0)*IF(D49='Оценка сложности задач'!$B$11,1,0)*'Оценка сложности задач'!$G$11) + (IF(C49='Оценка сложности задач'!$A$12,1,0)*IF(D49='Оценка сложности задач'!$B$12,1,0)*'Оценка сложности задач'!$G$12) + (IF(C49='Оценка сложности задач'!$A$13,1,0)*IF(D49='Оценка сложности задач'!$B$13,1,0)*'Оценка сложности задач'!$G$13) + (IF(C49='Оценка сложности задач'!$A$14,1,0)*IF(D49='Оценка сложности задач'!$B$14,1,0)*'Оценка сложности задач'!$G$14) + (IF(C49='Оценка сложности задач'!$A$15,1,0)*IF(D49='Оценка сложности задач'!$B$15,1,0)*'Оценка сложности задач'!$G$15) + (IF(C49='Оценка сложности задач'!$A$16,1,0)*IF(D49='Оценка сложности задач'!$B$16,1,0)*'Оценка сложности задач'!$G$16) + (IF(C49='Оценка сложности задач'!$A$17,1,0)*IF(D49='Оценка сложности задач'!$B$17,1,0)*'Оценка сложности задач'!$G$17) + (IF(C49='Оценка сложности задач'!$A$18,1,0)*IF(D49='Оценка сложности задач'!$B$18,1,0)*'Оценка сложности задач'!$G$18) + (IF(C49='Оценка сложности задач'!$A$19,1,0)*IF(D49='Оценка сложности задач'!$B$19,1,0)*'Оценка сложности задач'!$G$19)+(IF(C49='Оценка сложности задач'!$A$20,1,0)*IF(D49='Оценка сложности задач'!$B$20,1,0)*'Оценка сложности задач'!$G$20)+(IF(C49='Оценка сложности задач'!$A$21,1,0)*IF(D49='Оценка сложности задач'!$B$21,1,0)*'Оценка сложности задач'!$G$21)+(IF(C49='Оценка сложности задач'!$A$22,1,0)*IF(D49='Оценка сложности задач'!$B$22,1,0)*'Оценка сложности задач'!$G$22)+(IF(C49='Оценка сложности задач'!$A$23,1,0)*IF(D49='Оценка сложности задач'!$B$23,1,0)*'Оценка сложности задач'!$G$23)+(IF(C49='Оценка сложности задач'!$A$24,1,0)*IF(D49='Оценка сложности задач'!$B$24,1,0)*'Оценка сложности задач'!$G$24)+(IF(C49='Оценка сложности задач'!$A$25,1,0)*IF(D49='Оценка сложности задач'!$B$25,1,0)*'Оценка сложности задач'!$G$25)+(IF(C49='Оценка сложности задач'!$A$26,1,0)*IF(D49='Оценка сложности задач'!$B$26,1,0)*'Оценка сложности задач'!$G$26)+(IF(C49='Оценка сложности задач'!$A$27,1,0)*IF(D49='Оценка сложности задач'!$B$27,1,0)*'Оценка сложности задач'!$G$27)+(IF(C49='Оценка сложности задач'!$A$28,1,0)*IF(D49='Оценка сложности задач'!$B$28,1,0)*'Оценка сложности задач'!$G$28)+(IF(C49='Оценка сложности задач'!$A$29,1,0)*IF(D49='Оценка сложности задач'!$B$29,1,0)*'Оценка сложности задач'!$G$29)+(IF(C49='Оценка сложности задач'!$A$30,1,0)*IF(D49='Оценка сложности задач'!$B$30,1,0)*'Оценка сложности задач'!$G$30)+(IF(C49='Оценка сложности задач'!$A$31,1,0)*IF(D49='Оценка сложности задач'!$B$31,1,0)*'Оценка сложности задач'!$G$31)+(IF(C49='Оценка сложности задач'!$A$32,1,0)*IF(D49='Оценка сложности задач'!$B$32,1,0)*'Оценка сложности задач'!$G$32)+(IF(C49='Оценка сложности задач'!$A$33,1,0)*IF(D49='Оценка сложности задач'!$B$33,1,0)*'Оценка сложности задач'!$G$33)+(IF(C49='Оценка сложности задач'!$A$34,1,0)*IF(D49='Оценка сложности задач'!$B$34,1,0)*'Оценка сложности задач'!$G$34)+(IF(C49='Оценка сложности задач'!$A$35,1,0)*IF(D49='Оценка сложности задач'!$B$35,1,0)*'Оценка сложности задач'!$G$35)+(IF(C49='Оценка сложности задач'!$A$36,1,0)*IF(D49='Оценка сложности задач'!$B$36,1,0)*'Оценка сложности задач'!$G$36)+(IF(C49='Оценка сложности задач'!$A$37,1,0)*IF(D49='Оценка сложности задач'!$B$37,1,0)*'Оценка сложности задач'!$G$37)+(IF(C49='Оценка сложности задач'!$A$38,1,0)*IF(D49='Оценка сложности задач'!$B$38,1,0)*'Оценка сложности задач'!$G$38)+(IF(C49='Оценка сложности задач'!$A$39,1,0)*IF(D49='Оценка сложности задач'!$B$39,1,0)*'Оценка сложности задач'!$G$39)+(IF(C49='Оценка сложности задач'!$A$40,1,0)*IF(D49='Оценка сложности задач'!$B$40,1,0)*'Оценка сложности задач'!$G$40)</f>
        <v>0</v>
      </c>
      <c r="F49" s="49"/>
    </row>
    <row r="50" spans="1:6" x14ac:dyDescent="0.35">
      <c r="A50" s="54" t="s">
        <v>75</v>
      </c>
      <c r="B50" s="50"/>
      <c r="C50" s="56"/>
      <c r="D50" s="56"/>
      <c r="E50" s="56">
        <f>(IF(C50='Оценка сложности задач'!$A$2,1,0)*IF(D50='Оценка сложности задач'!$B$2,1,0)*'Оценка сложности задач'!$G$2)+(IF(C50='Оценка сложности задач'!$A$3,1,0)*IF(D50='Оценка сложности задач'!$B$3,1,0)*'Оценка сложности задач'!$G$3)+(IF(C50='Оценка сложности задач'!$A$4,1,0)*IF(D50='Оценка сложности задач'!$B$4,1,0)*'Оценка сложности задач'!$G$4)+(IF(C50='Оценка сложности задач'!$A$5,1,0)*IF(D50='Оценка сложности задач'!$B$5,1,0)*'Оценка сложности задач'!$G$5)+(IF(C50='Оценка сложности задач'!$A$6,1,0)*IF(D50='Оценка сложности задач'!$B$6,1,0)*'Оценка сложности задач'!$G$6)+(IF(C50='Оценка сложности задач'!$A$7,1,0)*IF(D50='Оценка сложности задач'!$B$7,1,0)*'Оценка сложности задач'!$G$7)+(IF(C50='Оценка сложности задач'!$A$8,1,0)*IF(D50='Оценка сложности задач'!$B$8,1,0)*'Оценка сложности задач'!$G$8)+(IF(C50='Оценка сложности задач'!$A$10,1,0)*IF(D50='Оценка сложности задач'!$B$10,1,0)*'Оценка сложности задач'!$G$10)+(IF(C50='Оценка сложности задач'!$A$9,1,0)*IF(D50='Оценка сложности задач'!$B$9,1,0)*'Оценка сложности задач'!$G$9)+ (IF(C50='Оценка сложности задач'!$A$11,1,0)*IF(D50='Оценка сложности задач'!$B$11,1,0)*'Оценка сложности задач'!$G$11) + (IF(C50='Оценка сложности задач'!$A$12,1,0)*IF(D50='Оценка сложности задач'!$B$12,1,0)*'Оценка сложности задач'!$G$12) + (IF(C50='Оценка сложности задач'!$A$13,1,0)*IF(D50='Оценка сложности задач'!$B$13,1,0)*'Оценка сложности задач'!$G$13) + (IF(C50='Оценка сложности задач'!$A$14,1,0)*IF(D50='Оценка сложности задач'!$B$14,1,0)*'Оценка сложности задач'!$G$14) + (IF(C50='Оценка сложности задач'!$A$15,1,0)*IF(D50='Оценка сложности задач'!$B$15,1,0)*'Оценка сложности задач'!$G$15) + (IF(C50='Оценка сложности задач'!$A$16,1,0)*IF(D50='Оценка сложности задач'!$B$16,1,0)*'Оценка сложности задач'!$G$16) + (IF(C50='Оценка сложности задач'!$A$17,1,0)*IF(D50='Оценка сложности задач'!$B$17,1,0)*'Оценка сложности задач'!$G$17) + (IF(C50='Оценка сложности задач'!$A$18,1,0)*IF(D50='Оценка сложности задач'!$B$18,1,0)*'Оценка сложности задач'!$G$18) + (IF(C50='Оценка сложности задач'!$A$19,1,0)*IF(D50='Оценка сложности задач'!$B$19,1,0)*'Оценка сложности задач'!$G$19)+(IF(C50='Оценка сложности задач'!$A$20,1,0)*IF(D50='Оценка сложности задач'!$B$20,1,0)*'Оценка сложности задач'!$G$20)+(IF(C50='Оценка сложности задач'!$A$21,1,0)*IF(D50='Оценка сложности задач'!$B$21,1,0)*'Оценка сложности задач'!$G$21)+(IF(C50='Оценка сложности задач'!$A$22,1,0)*IF(D50='Оценка сложности задач'!$B$22,1,0)*'Оценка сложности задач'!$G$22)+(IF(C50='Оценка сложности задач'!$A$23,1,0)*IF(D50='Оценка сложности задач'!$B$23,1,0)*'Оценка сложности задач'!$G$23)+(IF(C50='Оценка сложности задач'!$A$24,1,0)*IF(D50='Оценка сложности задач'!$B$24,1,0)*'Оценка сложности задач'!$G$24)+(IF(C50='Оценка сложности задач'!$A$25,1,0)*IF(D50='Оценка сложности задач'!$B$25,1,0)*'Оценка сложности задач'!$G$25)+(IF(C50='Оценка сложности задач'!$A$26,1,0)*IF(D50='Оценка сложности задач'!$B$26,1,0)*'Оценка сложности задач'!$G$26)+(IF(C50='Оценка сложности задач'!$A$27,1,0)*IF(D50='Оценка сложности задач'!$B$27,1,0)*'Оценка сложности задач'!$G$27)+(IF(C50='Оценка сложности задач'!$A$28,1,0)*IF(D50='Оценка сложности задач'!$B$28,1,0)*'Оценка сложности задач'!$G$28)+(IF(C50='Оценка сложности задач'!$A$29,1,0)*IF(D50='Оценка сложности задач'!$B$29,1,0)*'Оценка сложности задач'!$G$29)+(IF(C50='Оценка сложности задач'!$A$30,1,0)*IF(D50='Оценка сложности задач'!$B$30,1,0)*'Оценка сложности задач'!$G$30)+(IF(C50='Оценка сложности задач'!$A$31,1,0)*IF(D50='Оценка сложности задач'!$B$31,1,0)*'Оценка сложности задач'!$G$31)+(IF(C50='Оценка сложности задач'!$A$32,1,0)*IF(D50='Оценка сложности задач'!$B$32,1,0)*'Оценка сложности задач'!$G$32)+(IF(C50='Оценка сложности задач'!$A$33,1,0)*IF(D50='Оценка сложности задач'!$B$33,1,0)*'Оценка сложности задач'!$G$33)+(IF(C50='Оценка сложности задач'!$A$34,1,0)*IF(D50='Оценка сложности задач'!$B$34,1,0)*'Оценка сложности задач'!$G$34)+(IF(C50='Оценка сложности задач'!$A$35,1,0)*IF(D50='Оценка сложности задач'!$B$35,1,0)*'Оценка сложности задач'!$G$35)+(IF(C50='Оценка сложности задач'!$A$36,1,0)*IF(D50='Оценка сложности задач'!$B$36,1,0)*'Оценка сложности задач'!$G$36)+(IF(C50='Оценка сложности задач'!$A$37,1,0)*IF(D50='Оценка сложности задач'!$B$37,1,0)*'Оценка сложности задач'!$G$37)+(IF(C50='Оценка сложности задач'!$A$38,1,0)*IF(D50='Оценка сложности задач'!$B$38,1,0)*'Оценка сложности задач'!$G$38)+(IF(C50='Оценка сложности задач'!$A$39,1,0)*IF(D50='Оценка сложности задач'!$B$39,1,0)*'Оценка сложности задач'!$G$39)+(IF(C50='Оценка сложности задач'!$A$40,1,0)*IF(D50='Оценка сложности задач'!$B$40,1,0)*'Оценка сложности задач'!$G$40)</f>
        <v>0</v>
      </c>
      <c r="F50" s="49"/>
    </row>
    <row r="51" spans="1:6" x14ac:dyDescent="0.35">
      <c r="A51" s="54" t="s">
        <v>76</v>
      </c>
      <c r="B51" s="50"/>
      <c r="C51" s="56"/>
      <c r="D51" s="56"/>
      <c r="E51" s="56">
        <f>(IF(C51='Оценка сложности задач'!$A$2,1,0)*IF(D51='Оценка сложности задач'!$B$2,1,0)*'Оценка сложности задач'!$G$2)+(IF(C51='Оценка сложности задач'!$A$3,1,0)*IF(D51='Оценка сложности задач'!$B$3,1,0)*'Оценка сложности задач'!$G$3)+(IF(C51='Оценка сложности задач'!$A$4,1,0)*IF(D51='Оценка сложности задач'!$B$4,1,0)*'Оценка сложности задач'!$G$4)+(IF(C51='Оценка сложности задач'!$A$5,1,0)*IF(D51='Оценка сложности задач'!$B$5,1,0)*'Оценка сложности задач'!$G$5)+(IF(C51='Оценка сложности задач'!$A$6,1,0)*IF(D51='Оценка сложности задач'!$B$6,1,0)*'Оценка сложности задач'!$G$6)+(IF(C51='Оценка сложности задач'!$A$7,1,0)*IF(D51='Оценка сложности задач'!$B$7,1,0)*'Оценка сложности задач'!$G$7)+(IF(C51='Оценка сложности задач'!$A$8,1,0)*IF(D51='Оценка сложности задач'!$B$8,1,0)*'Оценка сложности задач'!$G$8)+(IF(C51='Оценка сложности задач'!$A$10,1,0)*IF(D51='Оценка сложности задач'!$B$10,1,0)*'Оценка сложности задач'!$G$10)+(IF(C51='Оценка сложности задач'!$A$9,1,0)*IF(D51='Оценка сложности задач'!$B$9,1,0)*'Оценка сложности задач'!$G$9)+ (IF(C51='Оценка сложности задач'!$A$11,1,0)*IF(D51='Оценка сложности задач'!$B$11,1,0)*'Оценка сложности задач'!$G$11) + (IF(C51='Оценка сложности задач'!$A$12,1,0)*IF(D51='Оценка сложности задач'!$B$12,1,0)*'Оценка сложности задач'!$G$12) + (IF(C51='Оценка сложности задач'!$A$13,1,0)*IF(D51='Оценка сложности задач'!$B$13,1,0)*'Оценка сложности задач'!$G$13) + (IF(C51='Оценка сложности задач'!$A$14,1,0)*IF(D51='Оценка сложности задач'!$B$14,1,0)*'Оценка сложности задач'!$G$14) + (IF(C51='Оценка сложности задач'!$A$15,1,0)*IF(D51='Оценка сложности задач'!$B$15,1,0)*'Оценка сложности задач'!$G$15) + (IF(C51='Оценка сложности задач'!$A$16,1,0)*IF(D51='Оценка сложности задач'!$B$16,1,0)*'Оценка сложности задач'!$G$16) + (IF(C51='Оценка сложности задач'!$A$17,1,0)*IF(D51='Оценка сложности задач'!$B$17,1,0)*'Оценка сложности задач'!$G$17) + (IF(C51='Оценка сложности задач'!$A$18,1,0)*IF(D51='Оценка сложности задач'!$B$18,1,0)*'Оценка сложности задач'!$G$18) + (IF(C51='Оценка сложности задач'!$A$19,1,0)*IF(D51='Оценка сложности задач'!$B$19,1,0)*'Оценка сложности задач'!$G$19)+(IF(C51='Оценка сложности задач'!$A$20,1,0)*IF(D51='Оценка сложности задач'!$B$20,1,0)*'Оценка сложности задач'!$G$20)+(IF(C51='Оценка сложности задач'!$A$21,1,0)*IF(D51='Оценка сложности задач'!$B$21,1,0)*'Оценка сложности задач'!$G$21)+(IF(C51='Оценка сложности задач'!$A$22,1,0)*IF(D51='Оценка сложности задач'!$B$22,1,0)*'Оценка сложности задач'!$G$22)+(IF(C51='Оценка сложности задач'!$A$23,1,0)*IF(D51='Оценка сложности задач'!$B$23,1,0)*'Оценка сложности задач'!$G$23)+(IF(C51='Оценка сложности задач'!$A$24,1,0)*IF(D51='Оценка сложности задач'!$B$24,1,0)*'Оценка сложности задач'!$G$24)+(IF(C51='Оценка сложности задач'!$A$25,1,0)*IF(D51='Оценка сложности задач'!$B$25,1,0)*'Оценка сложности задач'!$G$25)+(IF(C51='Оценка сложности задач'!$A$26,1,0)*IF(D51='Оценка сложности задач'!$B$26,1,0)*'Оценка сложности задач'!$G$26)+(IF(C51='Оценка сложности задач'!$A$27,1,0)*IF(D51='Оценка сложности задач'!$B$27,1,0)*'Оценка сложности задач'!$G$27)+(IF(C51='Оценка сложности задач'!$A$28,1,0)*IF(D51='Оценка сложности задач'!$B$28,1,0)*'Оценка сложности задач'!$G$28)+(IF(C51='Оценка сложности задач'!$A$29,1,0)*IF(D51='Оценка сложности задач'!$B$29,1,0)*'Оценка сложности задач'!$G$29)+(IF(C51='Оценка сложности задач'!$A$30,1,0)*IF(D51='Оценка сложности задач'!$B$30,1,0)*'Оценка сложности задач'!$G$30)+(IF(C51='Оценка сложности задач'!$A$31,1,0)*IF(D51='Оценка сложности задач'!$B$31,1,0)*'Оценка сложности задач'!$G$31)+(IF(C51='Оценка сложности задач'!$A$32,1,0)*IF(D51='Оценка сложности задач'!$B$32,1,0)*'Оценка сложности задач'!$G$32)+(IF(C51='Оценка сложности задач'!$A$33,1,0)*IF(D51='Оценка сложности задач'!$B$33,1,0)*'Оценка сложности задач'!$G$33)+(IF(C51='Оценка сложности задач'!$A$34,1,0)*IF(D51='Оценка сложности задач'!$B$34,1,0)*'Оценка сложности задач'!$G$34)+(IF(C51='Оценка сложности задач'!$A$35,1,0)*IF(D51='Оценка сложности задач'!$B$35,1,0)*'Оценка сложности задач'!$G$35)+(IF(C51='Оценка сложности задач'!$A$36,1,0)*IF(D51='Оценка сложности задач'!$B$36,1,0)*'Оценка сложности задач'!$G$36)+(IF(C51='Оценка сложности задач'!$A$37,1,0)*IF(D51='Оценка сложности задач'!$B$37,1,0)*'Оценка сложности задач'!$G$37)+(IF(C51='Оценка сложности задач'!$A$38,1,0)*IF(D51='Оценка сложности задач'!$B$38,1,0)*'Оценка сложности задач'!$G$38)+(IF(C51='Оценка сложности задач'!$A$39,1,0)*IF(D51='Оценка сложности задач'!$B$39,1,0)*'Оценка сложности задач'!$G$39)+(IF(C51='Оценка сложности задач'!$A$40,1,0)*IF(D51='Оценка сложности задач'!$B$40,1,0)*'Оценка сложности задач'!$G$40)</f>
        <v>0</v>
      </c>
      <c r="F51" s="49"/>
    </row>
    <row r="52" spans="1:6" x14ac:dyDescent="0.35">
      <c r="A52" s="54" t="s">
        <v>77</v>
      </c>
      <c r="B52" s="50"/>
      <c r="C52" s="56"/>
      <c r="D52" s="56"/>
      <c r="E52" s="56">
        <f>(IF(C52='Оценка сложности задач'!$A$2,1,0)*IF(D52='Оценка сложности задач'!$B$2,1,0)*'Оценка сложности задач'!$G$2)+(IF(C52='Оценка сложности задач'!$A$3,1,0)*IF(D52='Оценка сложности задач'!$B$3,1,0)*'Оценка сложности задач'!$G$3)+(IF(C52='Оценка сложности задач'!$A$4,1,0)*IF(D52='Оценка сложности задач'!$B$4,1,0)*'Оценка сложности задач'!$G$4)+(IF(C52='Оценка сложности задач'!$A$5,1,0)*IF(D52='Оценка сложности задач'!$B$5,1,0)*'Оценка сложности задач'!$G$5)+(IF(C52='Оценка сложности задач'!$A$6,1,0)*IF(D52='Оценка сложности задач'!$B$6,1,0)*'Оценка сложности задач'!$G$6)+(IF(C52='Оценка сложности задач'!$A$7,1,0)*IF(D52='Оценка сложности задач'!$B$7,1,0)*'Оценка сложности задач'!$G$7)+(IF(C52='Оценка сложности задач'!$A$8,1,0)*IF(D52='Оценка сложности задач'!$B$8,1,0)*'Оценка сложности задач'!$G$8)+(IF(C52='Оценка сложности задач'!$A$10,1,0)*IF(D52='Оценка сложности задач'!$B$10,1,0)*'Оценка сложности задач'!$G$10)+(IF(C52='Оценка сложности задач'!$A$9,1,0)*IF(D52='Оценка сложности задач'!$B$9,1,0)*'Оценка сложности задач'!$G$9)+ (IF(C52='Оценка сложности задач'!$A$11,1,0)*IF(D52='Оценка сложности задач'!$B$11,1,0)*'Оценка сложности задач'!$G$11) + (IF(C52='Оценка сложности задач'!$A$12,1,0)*IF(D52='Оценка сложности задач'!$B$12,1,0)*'Оценка сложности задач'!$G$12) + (IF(C52='Оценка сложности задач'!$A$13,1,0)*IF(D52='Оценка сложности задач'!$B$13,1,0)*'Оценка сложности задач'!$G$13) + (IF(C52='Оценка сложности задач'!$A$14,1,0)*IF(D52='Оценка сложности задач'!$B$14,1,0)*'Оценка сложности задач'!$G$14) + (IF(C52='Оценка сложности задач'!$A$15,1,0)*IF(D52='Оценка сложности задач'!$B$15,1,0)*'Оценка сложности задач'!$G$15) + (IF(C52='Оценка сложности задач'!$A$16,1,0)*IF(D52='Оценка сложности задач'!$B$16,1,0)*'Оценка сложности задач'!$G$16) + (IF(C52='Оценка сложности задач'!$A$17,1,0)*IF(D52='Оценка сложности задач'!$B$17,1,0)*'Оценка сложности задач'!$G$17) + (IF(C52='Оценка сложности задач'!$A$18,1,0)*IF(D52='Оценка сложности задач'!$B$18,1,0)*'Оценка сложности задач'!$G$18) + (IF(C52='Оценка сложности задач'!$A$19,1,0)*IF(D52='Оценка сложности задач'!$B$19,1,0)*'Оценка сложности задач'!$G$19)+(IF(C52='Оценка сложности задач'!$A$20,1,0)*IF(D52='Оценка сложности задач'!$B$20,1,0)*'Оценка сложности задач'!$G$20)+(IF(C52='Оценка сложности задач'!$A$21,1,0)*IF(D52='Оценка сложности задач'!$B$21,1,0)*'Оценка сложности задач'!$G$21)+(IF(C52='Оценка сложности задач'!$A$22,1,0)*IF(D52='Оценка сложности задач'!$B$22,1,0)*'Оценка сложности задач'!$G$22)+(IF(C52='Оценка сложности задач'!$A$23,1,0)*IF(D52='Оценка сложности задач'!$B$23,1,0)*'Оценка сложности задач'!$G$23)+(IF(C52='Оценка сложности задач'!$A$24,1,0)*IF(D52='Оценка сложности задач'!$B$24,1,0)*'Оценка сложности задач'!$G$24)+(IF(C52='Оценка сложности задач'!$A$25,1,0)*IF(D52='Оценка сложности задач'!$B$25,1,0)*'Оценка сложности задач'!$G$25)+(IF(C52='Оценка сложности задач'!$A$26,1,0)*IF(D52='Оценка сложности задач'!$B$26,1,0)*'Оценка сложности задач'!$G$26)+(IF(C52='Оценка сложности задач'!$A$27,1,0)*IF(D52='Оценка сложности задач'!$B$27,1,0)*'Оценка сложности задач'!$G$27)+(IF(C52='Оценка сложности задач'!$A$28,1,0)*IF(D52='Оценка сложности задач'!$B$28,1,0)*'Оценка сложности задач'!$G$28)+(IF(C52='Оценка сложности задач'!$A$29,1,0)*IF(D52='Оценка сложности задач'!$B$29,1,0)*'Оценка сложности задач'!$G$29)+(IF(C52='Оценка сложности задач'!$A$30,1,0)*IF(D52='Оценка сложности задач'!$B$30,1,0)*'Оценка сложности задач'!$G$30)+(IF(C52='Оценка сложности задач'!$A$31,1,0)*IF(D52='Оценка сложности задач'!$B$31,1,0)*'Оценка сложности задач'!$G$31)+(IF(C52='Оценка сложности задач'!$A$32,1,0)*IF(D52='Оценка сложности задач'!$B$32,1,0)*'Оценка сложности задач'!$G$32)+(IF(C52='Оценка сложности задач'!$A$33,1,0)*IF(D52='Оценка сложности задач'!$B$33,1,0)*'Оценка сложности задач'!$G$33)+(IF(C52='Оценка сложности задач'!$A$34,1,0)*IF(D52='Оценка сложности задач'!$B$34,1,0)*'Оценка сложности задач'!$G$34)+(IF(C52='Оценка сложности задач'!$A$35,1,0)*IF(D52='Оценка сложности задач'!$B$35,1,0)*'Оценка сложности задач'!$G$35)+(IF(C52='Оценка сложности задач'!$A$36,1,0)*IF(D52='Оценка сложности задач'!$B$36,1,0)*'Оценка сложности задач'!$G$36)+(IF(C52='Оценка сложности задач'!$A$37,1,0)*IF(D52='Оценка сложности задач'!$B$37,1,0)*'Оценка сложности задач'!$G$37)+(IF(C52='Оценка сложности задач'!$A$38,1,0)*IF(D52='Оценка сложности задач'!$B$38,1,0)*'Оценка сложности задач'!$G$38)+(IF(C52='Оценка сложности задач'!$A$39,1,0)*IF(D52='Оценка сложности задач'!$B$39,1,0)*'Оценка сложности задач'!$G$39)+(IF(C52='Оценка сложности задач'!$A$40,1,0)*IF(D52='Оценка сложности задач'!$B$40,1,0)*'Оценка сложности задач'!$G$40)</f>
        <v>0</v>
      </c>
      <c r="F52" s="49"/>
    </row>
    <row r="53" spans="1:6" x14ac:dyDescent="0.35">
      <c r="A53" s="54" t="s">
        <v>78</v>
      </c>
      <c r="B53" s="50"/>
      <c r="C53" s="56"/>
      <c r="D53" s="56"/>
      <c r="E53" s="56">
        <f>(IF(C53='Оценка сложности задач'!$A$2,1,0)*IF(D53='Оценка сложности задач'!$B$2,1,0)*'Оценка сложности задач'!$G$2)+(IF(C53='Оценка сложности задач'!$A$3,1,0)*IF(D53='Оценка сложности задач'!$B$3,1,0)*'Оценка сложности задач'!$G$3)+(IF(C53='Оценка сложности задач'!$A$4,1,0)*IF(D53='Оценка сложности задач'!$B$4,1,0)*'Оценка сложности задач'!$G$4)+(IF(C53='Оценка сложности задач'!$A$5,1,0)*IF(D53='Оценка сложности задач'!$B$5,1,0)*'Оценка сложности задач'!$G$5)+(IF(C53='Оценка сложности задач'!$A$6,1,0)*IF(D53='Оценка сложности задач'!$B$6,1,0)*'Оценка сложности задач'!$G$6)+(IF(C53='Оценка сложности задач'!$A$7,1,0)*IF(D53='Оценка сложности задач'!$B$7,1,0)*'Оценка сложности задач'!$G$7)+(IF(C53='Оценка сложности задач'!$A$8,1,0)*IF(D53='Оценка сложности задач'!$B$8,1,0)*'Оценка сложности задач'!$G$8)+(IF(C53='Оценка сложности задач'!$A$10,1,0)*IF(D53='Оценка сложности задач'!$B$10,1,0)*'Оценка сложности задач'!$G$10)+(IF(C53='Оценка сложности задач'!$A$9,1,0)*IF(D53='Оценка сложности задач'!$B$9,1,0)*'Оценка сложности задач'!$G$9)+ (IF(C53='Оценка сложности задач'!$A$11,1,0)*IF(D53='Оценка сложности задач'!$B$11,1,0)*'Оценка сложности задач'!$G$11) + (IF(C53='Оценка сложности задач'!$A$12,1,0)*IF(D53='Оценка сложности задач'!$B$12,1,0)*'Оценка сложности задач'!$G$12) + (IF(C53='Оценка сложности задач'!$A$13,1,0)*IF(D53='Оценка сложности задач'!$B$13,1,0)*'Оценка сложности задач'!$G$13) + (IF(C53='Оценка сложности задач'!$A$14,1,0)*IF(D53='Оценка сложности задач'!$B$14,1,0)*'Оценка сложности задач'!$G$14) + (IF(C53='Оценка сложности задач'!$A$15,1,0)*IF(D53='Оценка сложности задач'!$B$15,1,0)*'Оценка сложности задач'!$G$15) + (IF(C53='Оценка сложности задач'!$A$16,1,0)*IF(D53='Оценка сложности задач'!$B$16,1,0)*'Оценка сложности задач'!$G$16) + (IF(C53='Оценка сложности задач'!$A$17,1,0)*IF(D53='Оценка сложности задач'!$B$17,1,0)*'Оценка сложности задач'!$G$17) + (IF(C53='Оценка сложности задач'!$A$18,1,0)*IF(D53='Оценка сложности задач'!$B$18,1,0)*'Оценка сложности задач'!$G$18) + (IF(C53='Оценка сложности задач'!$A$19,1,0)*IF(D53='Оценка сложности задач'!$B$19,1,0)*'Оценка сложности задач'!$G$19)+(IF(C53='Оценка сложности задач'!$A$20,1,0)*IF(D53='Оценка сложности задач'!$B$20,1,0)*'Оценка сложности задач'!$G$20)+(IF(C53='Оценка сложности задач'!$A$21,1,0)*IF(D53='Оценка сложности задач'!$B$21,1,0)*'Оценка сложности задач'!$G$21)+(IF(C53='Оценка сложности задач'!$A$22,1,0)*IF(D53='Оценка сложности задач'!$B$22,1,0)*'Оценка сложности задач'!$G$22)+(IF(C53='Оценка сложности задач'!$A$23,1,0)*IF(D53='Оценка сложности задач'!$B$23,1,0)*'Оценка сложности задач'!$G$23)+(IF(C53='Оценка сложности задач'!$A$24,1,0)*IF(D53='Оценка сложности задач'!$B$24,1,0)*'Оценка сложности задач'!$G$24)+(IF(C53='Оценка сложности задач'!$A$25,1,0)*IF(D53='Оценка сложности задач'!$B$25,1,0)*'Оценка сложности задач'!$G$25)+(IF(C53='Оценка сложности задач'!$A$26,1,0)*IF(D53='Оценка сложности задач'!$B$26,1,0)*'Оценка сложности задач'!$G$26)+(IF(C53='Оценка сложности задач'!$A$27,1,0)*IF(D53='Оценка сложности задач'!$B$27,1,0)*'Оценка сложности задач'!$G$27)+(IF(C53='Оценка сложности задач'!$A$28,1,0)*IF(D53='Оценка сложности задач'!$B$28,1,0)*'Оценка сложности задач'!$G$28)+(IF(C53='Оценка сложности задач'!$A$29,1,0)*IF(D53='Оценка сложности задач'!$B$29,1,0)*'Оценка сложности задач'!$G$29)+(IF(C53='Оценка сложности задач'!$A$30,1,0)*IF(D53='Оценка сложности задач'!$B$30,1,0)*'Оценка сложности задач'!$G$30)+(IF(C53='Оценка сложности задач'!$A$31,1,0)*IF(D53='Оценка сложности задач'!$B$31,1,0)*'Оценка сложности задач'!$G$31)+(IF(C53='Оценка сложности задач'!$A$32,1,0)*IF(D53='Оценка сложности задач'!$B$32,1,0)*'Оценка сложности задач'!$G$32)+(IF(C53='Оценка сложности задач'!$A$33,1,0)*IF(D53='Оценка сложности задач'!$B$33,1,0)*'Оценка сложности задач'!$G$33)+(IF(C53='Оценка сложности задач'!$A$34,1,0)*IF(D53='Оценка сложности задач'!$B$34,1,0)*'Оценка сложности задач'!$G$34)+(IF(C53='Оценка сложности задач'!$A$35,1,0)*IF(D53='Оценка сложности задач'!$B$35,1,0)*'Оценка сложности задач'!$G$35)+(IF(C53='Оценка сложности задач'!$A$36,1,0)*IF(D53='Оценка сложности задач'!$B$36,1,0)*'Оценка сложности задач'!$G$36)+(IF(C53='Оценка сложности задач'!$A$37,1,0)*IF(D53='Оценка сложности задач'!$B$37,1,0)*'Оценка сложности задач'!$G$37)+(IF(C53='Оценка сложности задач'!$A$38,1,0)*IF(D53='Оценка сложности задач'!$B$38,1,0)*'Оценка сложности задач'!$G$38)+(IF(C53='Оценка сложности задач'!$A$39,1,0)*IF(D53='Оценка сложности задач'!$B$39,1,0)*'Оценка сложности задач'!$G$39)+(IF(C53='Оценка сложности задач'!$A$40,1,0)*IF(D53='Оценка сложности задач'!$B$40,1,0)*'Оценка сложности задач'!$G$40)</f>
        <v>0</v>
      </c>
      <c r="F53" s="49"/>
    </row>
    <row r="54" spans="1:6" x14ac:dyDescent="0.35">
      <c r="A54" s="54" t="s">
        <v>79</v>
      </c>
      <c r="B54" s="54"/>
      <c r="C54" s="56"/>
      <c r="D54" s="56"/>
      <c r="E54" s="56">
        <f>(IF(C54='Оценка сложности задач'!$A$2,1,0)*IF(D54='Оценка сложности задач'!$B$2,1,0)*'Оценка сложности задач'!$G$2)+(IF(C54='Оценка сложности задач'!$A$3,1,0)*IF(D54='Оценка сложности задач'!$B$3,1,0)*'Оценка сложности задач'!$G$3)+(IF(C54='Оценка сложности задач'!$A$4,1,0)*IF(D54='Оценка сложности задач'!$B$4,1,0)*'Оценка сложности задач'!$G$4)+(IF(C54='Оценка сложности задач'!$A$5,1,0)*IF(D54='Оценка сложности задач'!$B$5,1,0)*'Оценка сложности задач'!$G$5)+(IF(C54='Оценка сложности задач'!$A$6,1,0)*IF(D54='Оценка сложности задач'!$B$6,1,0)*'Оценка сложности задач'!$G$6)+(IF(C54='Оценка сложности задач'!$A$7,1,0)*IF(D54='Оценка сложности задач'!$B$7,1,0)*'Оценка сложности задач'!$G$7)+(IF(C54='Оценка сложности задач'!$A$8,1,0)*IF(D54='Оценка сложности задач'!$B$8,1,0)*'Оценка сложности задач'!$G$8)+(IF(C54='Оценка сложности задач'!$A$10,1,0)*IF(D54='Оценка сложности задач'!$B$10,1,0)*'Оценка сложности задач'!$G$10)+(IF(C54='Оценка сложности задач'!$A$9,1,0)*IF(D54='Оценка сложности задач'!$B$9,1,0)*'Оценка сложности задач'!$G$9)+ (IF(C54='Оценка сложности задач'!$A$11,1,0)*IF(D54='Оценка сложности задач'!$B$11,1,0)*'Оценка сложности задач'!$G$11) + (IF(C54='Оценка сложности задач'!$A$12,1,0)*IF(D54='Оценка сложности задач'!$B$12,1,0)*'Оценка сложности задач'!$G$12) + (IF(C54='Оценка сложности задач'!$A$13,1,0)*IF(D54='Оценка сложности задач'!$B$13,1,0)*'Оценка сложности задач'!$G$13) + (IF(C54='Оценка сложности задач'!$A$14,1,0)*IF(D54='Оценка сложности задач'!$B$14,1,0)*'Оценка сложности задач'!$G$14) + (IF(C54='Оценка сложности задач'!$A$15,1,0)*IF(D54='Оценка сложности задач'!$B$15,1,0)*'Оценка сложности задач'!$G$15) + (IF(C54='Оценка сложности задач'!$A$16,1,0)*IF(D54='Оценка сложности задач'!$B$16,1,0)*'Оценка сложности задач'!$G$16) + (IF(C54='Оценка сложности задач'!$A$17,1,0)*IF(D54='Оценка сложности задач'!$B$17,1,0)*'Оценка сложности задач'!$G$17) + (IF(C54='Оценка сложности задач'!$A$18,1,0)*IF(D54='Оценка сложности задач'!$B$18,1,0)*'Оценка сложности задач'!$G$18) + (IF(C54='Оценка сложности задач'!$A$19,1,0)*IF(D54='Оценка сложности задач'!$B$19,1,0)*'Оценка сложности задач'!$G$19)+(IF(C54='Оценка сложности задач'!$A$20,1,0)*IF(D54='Оценка сложности задач'!$B$20,1,0)*'Оценка сложности задач'!$G$20)+(IF(C54='Оценка сложности задач'!$A$21,1,0)*IF(D54='Оценка сложности задач'!$B$21,1,0)*'Оценка сложности задач'!$G$21)+(IF(C54='Оценка сложности задач'!$A$22,1,0)*IF(D54='Оценка сложности задач'!$B$22,1,0)*'Оценка сложности задач'!$G$22)+(IF(C54='Оценка сложности задач'!$A$23,1,0)*IF(D54='Оценка сложности задач'!$B$23,1,0)*'Оценка сложности задач'!$G$23)+(IF(C54='Оценка сложности задач'!$A$24,1,0)*IF(D54='Оценка сложности задач'!$B$24,1,0)*'Оценка сложности задач'!$G$24)+(IF(C54='Оценка сложности задач'!$A$25,1,0)*IF(D54='Оценка сложности задач'!$B$25,1,0)*'Оценка сложности задач'!$G$25)+(IF(C54='Оценка сложности задач'!$A$26,1,0)*IF(D54='Оценка сложности задач'!$B$26,1,0)*'Оценка сложности задач'!$G$26)+(IF(C54='Оценка сложности задач'!$A$27,1,0)*IF(D54='Оценка сложности задач'!$B$27,1,0)*'Оценка сложности задач'!$G$27)+(IF(C54='Оценка сложности задач'!$A$28,1,0)*IF(D54='Оценка сложности задач'!$B$28,1,0)*'Оценка сложности задач'!$G$28)+(IF(C54='Оценка сложности задач'!$A$29,1,0)*IF(D54='Оценка сложности задач'!$B$29,1,0)*'Оценка сложности задач'!$G$29)+(IF(C54='Оценка сложности задач'!$A$30,1,0)*IF(D54='Оценка сложности задач'!$B$30,1,0)*'Оценка сложности задач'!$G$30)+(IF(C54='Оценка сложности задач'!$A$31,1,0)*IF(D54='Оценка сложности задач'!$B$31,1,0)*'Оценка сложности задач'!$G$31)+(IF(C54='Оценка сложности задач'!$A$32,1,0)*IF(D54='Оценка сложности задач'!$B$32,1,0)*'Оценка сложности задач'!$G$32)+(IF(C54='Оценка сложности задач'!$A$33,1,0)*IF(D54='Оценка сложности задач'!$B$33,1,0)*'Оценка сложности задач'!$G$33)+(IF(C54='Оценка сложности задач'!$A$34,1,0)*IF(D54='Оценка сложности задач'!$B$34,1,0)*'Оценка сложности задач'!$G$34)+(IF(C54='Оценка сложности задач'!$A$35,1,0)*IF(D54='Оценка сложности задач'!$B$35,1,0)*'Оценка сложности задач'!$G$35)+(IF(C54='Оценка сложности задач'!$A$36,1,0)*IF(D54='Оценка сложности задач'!$B$36,1,0)*'Оценка сложности задач'!$G$36)+(IF(C54='Оценка сложности задач'!$A$37,1,0)*IF(D54='Оценка сложности задач'!$B$37,1,0)*'Оценка сложности задач'!$G$37)+(IF(C54='Оценка сложности задач'!$A$38,1,0)*IF(D54='Оценка сложности задач'!$B$38,1,0)*'Оценка сложности задач'!$G$38)+(IF(C54='Оценка сложности задач'!$A$39,1,0)*IF(D54='Оценка сложности задач'!$B$39,1,0)*'Оценка сложности задач'!$G$39)+(IF(C54='Оценка сложности задач'!$A$40,1,0)*IF(D54='Оценка сложности задач'!$B$40,1,0)*'Оценка сложности задач'!$G$40)</f>
        <v>0</v>
      </c>
      <c r="F54" s="49"/>
    </row>
    <row r="55" spans="1:6" x14ac:dyDescent="0.35">
      <c r="A55" s="98" t="s">
        <v>80</v>
      </c>
      <c r="B55" s="97"/>
      <c r="C55" s="97"/>
      <c r="D55" s="93"/>
      <c r="E55" s="55">
        <f>SUM(E4:E54)</f>
        <v>186</v>
      </c>
      <c r="F55" s="55">
        <f>SUM(F4:F54)</f>
        <v>0</v>
      </c>
    </row>
  </sheetData>
  <mergeCells count="7">
    <mergeCell ref="E2:F2"/>
    <mergeCell ref="C2:C3"/>
    <mergeCell ref="A1:F1"/>
    <mergeCell ref="A55:D55"/>
    <mergeCell ref="B2:B3"/>
    <mergeCell ref="A2:A3"/>
    <mergeCell ref="D2:D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I39"/>
  <sheetViews>
    <sheetView workbookViewId="0">
      <selection activeCell="I39" sqref="I39"/>
    </sheetView>
  </sheetViews>
  <sheetFormatPr defaultColWidth="9.08984375" defaultRowHeight="14" x14ac:dyDescent="0.35"/>
  <cols>
    <col min="1" max="1" width="3.08984375" style="67" customWidth="1"/>
    <col min="2" max="2" width="13.54296875" style="67" customWidth="1"/>
    <col min="3" max="3" width="4.36328125" style="67" customWidth="1"/>
    <col min="4" max="4" width="30.08984375" style="58" customWidth="1"/>
    <col min="5" max="5" width="10.54296875" style="65" customWidth="1"/>
    <col min="6" max="6" width="12" style="65" customWidth="1"/>
    <col min="7" max="7" width="13.453125" style="72" customWidth="1"/>
    <col min="8" max="8" width="16.453125" style="58" customWidth="1"/>
    <col min="9" max="9" width="9.08984375" style="58" customWidth="1"/>
    <col min="10" max="16384" width="9.08984375" style="58"/>
  </cols>
  <sheetData>
    <row r="1" spans="1:9" ht="21" customHeight="1" x14ac:dyDescent="0.35">
      <c r="A1" s="117" t="s">
        <v>81</v>
      </c>
      <c r="B1" s="109"/>
      <c r="C1" s="109"/>
      <c r="D1" s="110"/>
      <c r="E1" s="111"/>
      <c r="F1" s="111"/>
      <c r="G1" s="112"/>
    </row>
    <row r="2" spans="1:9" x14ac:dyDescent="0.35">
      <c r="A2" s="117"/>
      <c r="B2" s="109"/>
      <c r="C2" s="109"/>
      <c r="D2" s="110"/>
      <c r="E2" s="111"/>
      <c r="F2" s="111"/>
      <c r="G2" s="112"/>
      <c r="I2" s="58" t="s">
        <v>82</v>
      </c>
    </row>
    <row r="3" spans="1:9" ht="21.5" customHeight="1" x14ac:dyDescent="0.35">
      <c r="A3" s="120" t="s">
        <v>83</v>
      </c>
      <c r="B3" s="121"/>
      <c r="C3" s="121"/>
      <c r="D3" s="121"/>
      <c r="E3" s="121"/>
      <c r="F3" s="121"/>
      <c r="G3" s="121"/>
    </row>
    <row r="4" spans="1:9" s="76" customFormat="1" ht="17" customHeight="1" x14ac:dyDescent="0.35">
      <c r="A4" s="118" t="s">
        <v>84</v>
      </c>
      <c r="B4" s="119"/>
      <c r="C4" s="119"/>
      <c r="D4" s="119"/>
      <c r="E4" s="119"/>
      <c r="F4" s="101">
        <v>3950</v>
      </c>
      <c r="G4" s="102"/>
    </row>
    <row r="5" spans="1:9" s="60" customFormat="1" ht="27.65" customHeight="1" x14ac:dyDescent="0.35">
      <c r="A5" s="66" t="s">
        <v>1</v>
      </c>
      <c r="B5" s="66" t="s">
        <v>85</v>
      </c>
      <c r="C5" s="105" t="s">
        <v>86</v>
      </c>
      <c r="D5" s="93"/>
      <c r="E5" s="59" t="s">
        <v>87</v>
      </c>
      <c r="F5" s="69" t="s">
        <v>88</v>
      </c>
      <c r="G5" s="73" t="s">
        <v>89</v>
      </c>
    </row>
    <row r="6" spans="1:9" ht="29.5" customHeight="1" x14ac:dyDescent="0.35">
      <c r="A6" s="107" t="s">
        <v>8</v>
      </c>
      <c r="B6" s="103" t="s">
        <v>90</v>
      </c>
      <c r="C6" s="100" t="s">
        <v>91</v>
      </c>
      <c r="D6" s="93"/>
      <c r="E6" s="61">
        <v>6</v>
      </c>
      <c r="F6" s="70">
        <f>E6*$F$4</f>
        <v>23700</v>
      </c>
      <c r="G6" s="106">
        <v>3</v>
      </c>
    </row>
    <row r="7" spans="1:9" ht="31" customHeight="1" x14ac:dyDescent="0.35">
      <c r="A7" s="95"/>
      <c r="B7" s="95"/>
      <c r="C7" s="100" t="s">
        <v>90</v>
      </c>
      <c r="D7" s="93"/>
      <c r="E7" s="61">
        <v>10</v>
      </c>
      <c r="F7" s="70">
        <f>E7*$F$4</f>
        <v>39500</v>
      </c>
      <c r="G7" s="95"/>
    </row>
    <row r="8" spans="1:9" ht="23.5" customHeight="1" x14ac:dyDescent="0.35">
      <c r="A8" s="107" t="s">
        <v>12</v>
      </c>
      <c r="B8" s="103" t="s">
        <v>92</v>
      </c>
      <c r="C8" s="100" t="s">
        <v>93</v>
      </c>
      <c r="D8" s="93"/>
      <c r="E8" s="61">
        <f>SUM(E9:E33)</f>
        <v>64</v>
      </c>
      <c r="F8" s="113">
        <f>E8*$F$4</f>
        <v>252800</v>
      </c>
      <c r="G8" s="106">
        <v>8</v>
      </c>
    </row>
    <row r="9" spans="1:9" ht="42" x14ac:dyDescent="0.35">
      <c r="A9" s="104"/>
      <c r="B9" s="104"/>
      <c r="C9" s="68">
        <v>1</v>
      </c>
      <c r="D9" s="62" t="s">
        <v>94</v>
      </c>
      <c r="E9" s="61">
        <v>6</v>
      </c>
      <c r="F9" s="114"/>
      <c r="G9" s="104"/>
    </row>
    <row r="10" spans="1:9" ht="42" x14ac:dyDescent="0.35">
      <c r="A10" s="104"/>
      <c r="B10" s="104"/>
      <c r="C10" s="68">
        <v>2</v>
      </c>
      <c r="D10" s="62" t="s">
        <v>95</v>
      </c>
      <c r="E10" s="61">
        <v>6</v>
      </c>
      <c r="F10" s="114"/>
      <c r="G10" s="104"/>
    </row>
    <row r="11" spans="1:9" ht="42" x14ac:dyDescent="0.35">
      <c r="A11" s="104"/>
      <c r="B11" s="104"/>
      <c r="C11" s="68">
        <v>3</v>
      </c>
      <c r="D11" s="62" t="s">
        <v>96</v>
      </c>
      <c r="E11" s="61">
        <v>10</v>
      </c>
      <c r="F11" s="114"/>
      <c r="G11" s="104"/>
    </row>
    <row r="12" spans="1:9" ht="28" x14ac:dyDescent="0.35">
      <c r="A12" s="104"/>
      <c r="B12" s="104"/>
      <c r="C12" s="68">
        <v>4</v>
      </c>
      <c r="D12" s="62" t="s">
        <v>97</v>
      </c>
      <c r="E12" s="61">
        <v>6</v>
      </c>
      <c r="F12" s="114"/>
      <c r="G12" s="104"/>
    </row>
    <row r="13" spans="1:9" ht="42" x14ac:dyDescent="0.35">
      <c r="A13" s="104"/>
      <c r="B13" s="104"/>
      <c r="C13" s="68">
        <v>5</v>
      </c>
      <c r="D13" s="62" t="s">
        <v>98</v>
      </c>
      <c r="E13" s="61">
        <v>6</v>
      </c>
      <c r="F13" s="114"/>
      <c r="G13" s="104"/>
    </row>
    <row r="14" spans="1:9" ht="42" x14ac:dyDescent="0.35">
      <c r="A14" s="104"/>
      <c r="B14" s="104"/>
      <c r="C14" s="68">
        <v>6</v>
      </c>
      <c r="D14" s="62" t="s">
        <v>99</v>
      </c>
      <c r="E14" s="61">
        <v>10</v>
      </c>
      <c r="F14" s="114"/>
      <c r="G14" s="104"/>
    </row>
    <row r="15" spans="1:9" ht="28" x14ac:dyDescent="0.35">
      <c r="A15" s="104"/>
      <c r="B15" s="104"/>
      <c r="C15" s="68">
        <v>7</v>
      </c>
      <c r="D15" s="62" t="s">
        <v>100</v>
      </c>
      <c r="E15" s="61">
        <v>6</v>
      </c>
      <c r="F15" s="114"/>
      <c r="G15" s="104"/>
    </row>
    <row r="16" spans="1:9" ht="28" x14ac:dyDescent="0.35">
      <c r="A16" s="104"/>
      <c r="B16" s="104"/>
      <c r="C16" s="68">
        <v>8</v>
      </c>
      <c r="D16" s="62" t="s">
        <v>101</v>
      </c>
      <c r="E16" s="61">
        <v>4</v>
      </c>
      <c r="F16" s="114"/>
      <c r="G16" s="104"/>
    </row>
    <row r="17" spans="1:7" ht="28" x14ac:dyDescent="0.35">
      <c r="A17" s="104"/>
      <c r="B17" s="104"/>
      <c r="C17" s="68">
        <v>9</v>
      </c>
      <c r="D17" s="62" t="s">
        <v>102</v>
      </c>
      <c r="E17" s="61">
        <v>4</v>
      </c>
      <c r="F17" s="114"/>
      <c r="G17" s="104"/>
    </row>
    <row r="18" spans="1:7" ht="28" x14ac:dyDescent="0.35">
      <c r="A18" s="104"/>
      <c r="B18" s="104"/>
      <c r="C18" s="68">
        <v>10</v>
      </c>
      <c r="D18" s="62" t="s">
        <v>103</v>
      </c>
      <c r="E18" s="61">
        <v>6</v>
      </c>
      <c r="F18" s="114"/>
      <c r="G18" s="104"/>
    </row>
    <row r="19" spans="1:7" x14ac:dyDescent="0.35">
      <c r="A19" s="104"/>
      <c r="B19" s="104"/>
      <c r="C19" s="68">
        <v>11</v>
      </c>
      <c r="D19" s="62"/>
      <c r="E19" s="61"/>
      <c r="F19" s="114"/>
      <c r="G19" s="104"/>
    </row>
    <row r="20" spans="1:7" x14ac:dyDescent="0.35">
      <c r="A20" s="104"/>
      <c r="B20" s="104"/>
      <c r="C20" s="68">
        <v>12</v>
      </c>
      <c r="D20" s="62"/>
      <c r="E20" s="61"/>
      <c r="F20" s="114"/>
      <c r="G20" s="104"/>
    </row>
    <row r="21" spans="1:7" x14ac:dyDescent="0.35">
      <c r="A21" s="104"/>
      <c r="B21" s="104"/>
      <c r="C21" s="68">
        <v>13</v>
      </c>
      <c r="D21" s="62"/>
      <c r="E21" s="61"/>
      <c r="F21" s="114"/>
      <c r="G21" s="104"/>
    </row>
    <row r="22" spans="1:7" x14ac:dyDescent="0.35">
      <c r="A22" s="104"/>
      <c r="B22" s="104"/>
      <c r="C22" s="68">
        <v>14</v>
      </c>
      <c r="D22" s="62"/>
      <c r="E22" s="61"/>
      <c r="F22" s="114"/>
      <c r="G22" s="104"/>
    </row>
    <row r="23" spans="1:7" x14ac:dyDescent="0.35">
      <c r="A23" s="104"/>
      <c r="B23" s="104"/>
      <c r="C23" s="68">
        <v>15</v>
      </c>
      <c r="D23" s="62"/>
      <c r="E23" s="61"/>
      <c r="F23" s="114"/>
      <c r="G23" s="104"/>
    </row>
    <row r="24" spans="1:7" x14ac:dyDescent="0.35">
      <c r="A24" s="104"/>
      <c r="B24" s="104"/>
      <c r="C24" s="68">
        <v>16</v>
      </c>
      <c r="D24" s="62"/>
      <c r="E24" s="61"/>
      <c r="F24" s="114"/>
      <c r="G24" s="104"/>
    </row>
    <row r="25" spans="1:7" x14ac:dyDescent="0.35">
      <c r="A25" s="104"/>
      <c r="B25" s="104"/>
      <c r="C25" s="68">
        <v>17</v>
      </c>
      <c r="D25" s="62"/>
      <c r="E25" s="61"/>
      <c r="F25" s="114"/>
      <c r="G25" s="104"/>
    </row>
    <row r="26" spans="1:7" x14ac:dyDescent="0.35">
      <c r="A26" s="104"/>
      <c r="B26" s="104"/>
      <c r="C26" s="68">
        <v>18</v>
      </c>
      <c r="D26" s="62"/>
      <c r="E26" s="61"/>
      <c r="F26" s="114"/>
      <c r="G26" s="104"/>
    </row>
    <row r="27" spans="1:7" x14ac:dyDescent="0.35">
      <c r="A27" s="104"/>
      <c r="B27" s="104"/>
      <c r="C27" s="68">
        <v>19</v>
      </c>
      <c r="D27" s="62"/>
      <c r="E27" s="61"/>
      <c r="F27" s="114"/>
      <c r="G27" s="104"/>
    </row>
    <row r="28" spans="1:7" x14ac:dyDescent="0.35">
      <c r="A28" s="104"/>
      <c r="B28" s="104"/>
      <c r="C28" s="68">
        <v>20</v>
      </c>
      <c r="D28" s="62"/>
      <c r="E28" s="61"/>
      <c r="F28" s="114"/>
      <c r="G28" s="104"/>
    </row>
    <row r="29" spans="1:7" x14ac:dyDescent="0.35">
      <c r="A29" s="104"/>
      <c r="B29" s="104"/>
      <c r="C29" s="68">
        <v>21</v>
      </c>
      <c r="D29" s="62"/>
      <c r="E29" s="61"/>
      <c r="F29" s="114"/>
      <c r="G29" s="104"/>
    </row>
    <row r="30" spans="1:7" x14ac:dyDescent="0.35">
      <c r="A30" s="104"/>
      <c r="B30" s="104"/>
      <c r="C30" s="68">
        <v>22</v>
      </c>
      <c r="D30" s="62"/>
      <c r="E30" s="61"/>
      <c r="F30" s="114"/>
      <c r="G30" s="104"/>
    </row>
    <row r="31" spans="1:7" x14ac:dyDescent="0.35">
      <c r="A31" s="104"/>
      <c r="B31" s="104"/>
      <c r="C31" s="68">
        <v>23</v>
      </c>
      <c r="D31" s="62"/>
      <c r="E31" s="61"/>
      <c r="F31" s="114"/>
      <c r="G31" s="104"/>
    </row>
    <row r="32" spans="1:7" x14ac:dyDescent="0.35">
      <c r="A32" s="104"/>
      <c r="B32" s="104"/>
      <c r="C32" s="68">
        <v>24</v>
      </c>
      <c r="D32" s="62"/>
      <c r="E32" s="61"/>
      <c r="F32" s="114"/>
      <c r="G32" s="104"/>
    </row>
    <row r="33" spans="1:7" x14ac:dyDescent="0.35">
      <c r="A33" s="95"/>
      <c r="B33" s="95"/>
      <c r="C33" s="68">
        <v>25</v>
      </c>
      <c r="D33" s="62"/>
      <c r="E33" s="61"/>
      <c r="F33" s="115"/>
      <c r="G33" s="95"/>
    </row>
    <row r="34" spans="1:7" ht="54" customHeight="1" x14ac:dyDescent="0.35">
      <c r="A34" s="107" t="s">
        <v>15</v>
      </c>
      <c r="B34" s="103" t="s">
        <v>104</v>
      </c>
      <c r="C34" s="100" t="s">
        <v>105</v>
      </c>
      <c r="D34" s="93"/>
      <c r="E34" s="61">
        <v>8</v>
      </c>
      <c r="F34" s="70">
        <f>E34*$F$4</f>
        <v>31600</v>
      </c>
      <c r="G34" s="106">
        <v>13</v>
      </c>
    </row>
    <row r="35" spans="1:7" ht="35" customHeight="1" x14ac:dyDescent="0.35">
      <c r="A35" s="104"/>
      <c r="B35" s="104"/>
      <c r="C35" s="100" t="s">
        <v>106</v>
      </c>
      <c r="D35" s="93"/>
      <c r="E35" s="61">
        <v>6</v>
      </c>
      <c r="F35" s="70">
        <f>E35*$F$4</f>
        <v>23700</v>
      </c>
      <c r="G35" s="104"/>
    </row>
    <row r="36" spans="1:7" ht="46" customHeight="1" x14ac:dyDescent="0.35">
      <c r="A36" s="95"/>
      <c r="B36" s="95"/>
      <c r="C36" s="100" t="s">
        <v>107</v>
      </c>
      <c r="D36" s="93"/>
      <c r="E36" s="61">
        <v>10</v>
      </c>
      <c r="F36" s="70">
        <f>E36*$F$4</f>
        <v>39500</v>
      </c>
      <c r="G36" s="95"/>
    </row>
    <row r="37" spans="1:7" s="64" customFormat="1" ht="14.5" x14ac:dyDescent="0.35">
      <c r="A37" s="116" t="s">
        <v>108</v>
      </c>
      <c r="B37" s="97"/>
      <c r="C37" s="97"/>
      <c r="D37" s="97"/>
      <c r="E37" s="93"/>
      <c r="F37" s="71">
        <f>SUM(F6:F36)</f>
        <v>410800</v>
      </c>
      <c r="G37" s="74">
        <f>SUM(G6:G36)</f>
        <v>24</v>
      </c>
    </row>
    <row r="39" spans="1:7" ht="34" customHeight="1" x14ac:dyDescent="0.35">
      <c r="A39" s="108"/>
      <c r="B39" s="109"/>
      <c r="C39" s="109"/>
      <c r="D39" s="110"/>
      <c r="E39" s="111"/>
      <c r="F39" s="111"/>
      <c r="G39" s="112"/>
    </row>
  </sheetData>
  <mergeCells count="24">
    <mergeCell ref="A1:G1"/>
    <mergeCell ref="A8:A33"/>
    <mergeCell ref="C36:D36"/>
    <mergeCell ref="C8:D8"/>
    <mergeCell ref="A4:E4"/>
    <mergeCell ref="C7:D7"/>
    <mergeCell ref="A3:G3"/>
    <mergeCell ref="G34:G36"/>
    <mergeCell ref="A2:G2"/>
    <mergeCell ref="A6:A7"/>
    <mergeCell ref="C35:D35"/>
    <mergeCell ref="B8:B33"/>
    <mergeCell ref="A34:A36"/>
    <mergeCell ref="A39:G39"/>
    <mergeCell ref="F8:F33"/>
    <mergeCell ref="G6:G7"/>
    <mergeCell ref="A37:E37"/>
    <mergeCell ref="B6:B7"/>
    <mergeCell ref="C34:D34"/>
    <mergeCell ref="F4:G4"/>
    <mergeCell ref="C6:D6"/>
    <mergeCell ref="B34:B36"/>
    <mergeCell ref="C5:D5"/>
    <mergeCell ref="G8:G3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G42"/>
  <sheetViews>
    <sheetView workbookViewId="0">
      <selection activeCell="I39" sqref="I39"/>
    </sheetView>
  </sheetViews>
  <sheetFormatPr defaultColWidth="9.08984375" defaultRowHeight="14" x14ac:dyDescent="0.35"/>
  <cols>
    <col min="1" max="1" width="3.08984375" style="67" customWidth="1"/>
    <col min="2" max="2" width="13.54296875" style="67" customWidth="1"/>
    <col min="3" max="3" width="4.36328125" style="67" customWidth="1"/>
    <col min="4" max="4" width="28.6328125" style="58" customWidth="1"/>
    <col min="5" max="5" width="9.6328125" style="65" customWidth="1"/>
    <col min="6" max="6" width="13.453125" style="65" customWidth="1"/>
    <col min="7" max="7" width="13.90625" style="72" customWidth="1"/>
    <col min="8" max="8" width="18.6328125" style="58" customWidth="1"/>
    <col min="9" max="9" width="9.08984375" style="58" customWidth="1"/>
    <col min="10" max="16384" width="9.08984375" style="58"/>
  </cols>
  <sheetData>
    <row r="1" spans="1:7" ht="19" customHeight="1" x14ac:dyDescent="0.35">
      <c r="A1" s="117" t="s">
        <v>81</v>
      </c>
      <c r="B1" s="109"/>
      <c r="C1" s="109"/>
      <c r="D1" s="110"/>
      <c r="E1" s="111"/>
      <c r="F1" s="111"/>
      <c r="G1" s="112"/>
    </row>
    <row r="2" spans="1:7" x14ac:dyDescent="0.35">
      <c r="A2" s="117"/>
      <c r="B2" s="109"/>
      <c r="C2" s="109"/>
      <c r="D2" s="110"/>
      <c r="E2" s="111"/>
      <c r="F2" s="111"/>
    </row>
    <row r="3" spans="1:7" ht="18.5" customHeight="1" x14ac:dyDescent="0.35">
      <c r="A3" s="120" t="s">
        <v>83</v>
      </c>
      <c r="B3" s="121"/>
      <c r="C3" s="121"/>
      <c r="D3" s="121"/>
      <c r="E3" s="121"/>
      <c r="F3" s="121"/>
      <c r="G3" s="121"/>
    </row>
    <row r="4" spans="1:7" s="76" customFormat="1" ht="16" customHeight="1" x14ac:dyDescent="0.35">
      <c r="A4" s="118" t="s">
        <v>84</v>
      </c>
      <c r="B4" s="119"/>
      <c r="C4" s="119"/>
      <c r="D4" s="119"/>
      <c r="E4" s="119"/>
      <c r="F4" s="101">
        <v>3950</v>
      </c>
      <c r="G4" s="102"/>
    </row>
    <row r="5" spans="1:7" s="60" customFormat="1" ht="27.65" customHeight="1" x14ac:dyDescent="0.35">
      <c r="A5" s="66" t="s">
        <v>1</v>
      </c>
      <c r="B5" s="66" t="s">
        <v>85</v>
      </c>
      <c r="C5" s="105" t="s">
        <v>86</v>
      </c>
      <c r="D5" s="93"/>
      <c r="E5" s="59" t="s">
        <v>87</v>
      </c>
      <c r="F5" s="59" t="s">
        <v>88</v>
      </c>
      <c r="G5" s="73" t="s">
        <v>89</v>
      </c>
    </row>
    <row r="6" spans="1:7" ht="33.5" customHeight="1" x14ac:dyDescent="0.35">
      <c r="A6" s="107" t="s">
        <v>8</v>
      </c>
      <c r="B6" s="103" t="s">
        <v>109</v>
      </c>
      <c r="C6" s="100" t="s">
        <v>91</v>
      </c>
      <c r="D6" s="93"/>
      <c r="E6" s="61">
        <v>6</v>
      </c>
      <c r="F6" s="61">
        <f>E6*$F$4</f>
        <v>23700</v>
      </c>
      <c r="G6" s="106">
        <v>3</v>
      </c>
    </row>
    <row r="7" spans="1:7" ht="23.5" customHeight="1" x14ac:dyDescent="0.35">
      <c r="A7" s="95"/>
      <c r="B7" s="95"/>
      <c r="C7" s="100" t="s">
        <v>109</v>
      </c>
      <c r="D7" s="93"/>
      <c r="E7" s="61">
        <v>10</v>
      </c>
      <c r="F7" s="61">
        <f>E7*$F$4</f>
        <v>39500</v>
      </c>
      <c r="G7" s="95"/>
    </row>
    <row r="8" spans="1:7" ht="45.5" customHeight="1" x14ac:dyDescent="0.35">
      <c r="A8" s="122" t="s">
        <v>12</v>
      </c>
      <c r="B8" s="127" t="s">
        <v>110</v>
      </c>
      <c r="C8" s="100" t="s">
        <v>111</v>
      </c>
      <c r="D8" s="93"/>
      <c r="E8" s="61">
        <f>SUM(E9:E33)</f>
        <v>64</v>
      </c>
      <c r="F8" s="125">
        <f>E8*$F$4</f>
        <v>252800</v>
      </c>
      <c r="G8" s="126">
        <v>12</v>
      </c>
    </row>
    <row r="9" spans="1:7" ht="42" x14ac:dyDescent="0.35">
      <c r="A9" s="104"/>
      <c r="B9" s="104"/>
      <c r="C9" s="68">
        <v>1</v>
      </c>
      <c r="D9" s="62" t="s">
        <v>94</v>
      </c>
      <c r="E9" s="61">
        <v>6</v>
      </c>
      <c r="F9" s="104"/>
      <c r="G9" s="104"/>
    </row>
    <row r="10" spans="1:7" ht="42" x14ac:dyDescent="0.35">
      <c r="A10" s="104"/>
      <c r="B10" s="104"/>
      <c r="C10" s="68">
        <v>2</v>
      </c>
      <c r="D10" s="62" t="s">
        <v>95</v>
      </c>
      <c r="E10" s="61">
        <v>6</v>
      </c>
      <c r="F10" s="104"/>
      <c r="G10" s="104"/>
    </row>
    <row r="11" spans="1:7" ht="42" x14ac:dyDescent="0.35">
      <c r="A11" s="104"/>
      <c r="B11" s="104"/>
      <c r="C11" s="68">
        <v>3</v>
      </c>
      <c r="D11" s="62" t="s">
        <v>96</v>
      </c>
      <c r="E11" s="61">
        <v>10</v>
      </c>
      <c r="F11" s="104"/>
      <c r="G11" s="104"/>
    </row>
    <row r="12" spans="1:7" ht="28" x14ac:dyDescent="0.35">
      <c r="A12" s="104"/>
      <c r="B12" s="104"/>
      <c r="C12" s="68">
        <v>4</v>
      </c>
      <c r="D12" s="62" t="s">
        <v>97</v>
      </c>
      <c r="E12" s="61">
        <v>6</v>
      </c>
      <c r="F12" s="104"/>
      <c r="G12" s="104"/>
    </row>
    <row r="13" spans="1:7" ht="42" x14ac:dyDescent="0.35">
      <c r="A13" s="104"/>
      <c r="B13" s="104"/>
      <c r="C13" s="68">
        <v>5</v>
      </c>
      <c r="D13" s="62" t="s">
        <v>98</v>
      </c>
      <c r="E13" s="61">
        <v>6</v>
      </c>
      <c r="F13" s="104"/>
      <c r="G13" s="104"/>
    </row>
    <row r="14" spans="1:7" ht="42" x14ac:dyDescent="0.35">
      <c r="A14" s="104"/>
      <c r="B14" s="104"/>
      <c r="C14" s="68">
        <v>6</v>
      </c>
      <c r="D14" s="62" t="s">
        <v>99</v>
      </c>
      <c r="E14" s="61">
        <v>10</v>
      </c>
      <c r="F14" s="104"/>
      <c r="G14" s="104"/>
    </row>
    <row r="15" spans="1:7" ht="28" x14ac:dyDescent="0.35">
      <c r="A15" s="104"/>
      <c r="B15" s="104"/>
      <c r="C15" s="68">
        <v>7</v>
      </c>
      <c r="D15" s="62" t="s">
        <v>100</v>
      </c>
      <c r="E15" s="61">
        <v>6</v>
      </c>
      <c r="F15" s="104"/>
      <c r="G15" s="104"/>
    </row>
    <row r="16" spans="1:7" ht="28" x14ac:dyDescent="0.35">
      <c r="A16" s="104"/>
      <c r="B16" s="104"/>
      <c r="C16" s="68">
        <v>8</v>
      </c>
      <c r="D16" s="62" t="s">
        <v>101</v>
      </c>
      <c r="E16" s="61">
        <v>4</v>
      </c>
      <c r="F16" s="104"/>
      <c r="G16" s="104"/>
    </row>
    <row r="17" spans="1:7" ht="42" x14ac:dyDescent="0.35">
      <c r="A17" s="104"/>
      <c r="B17" s="104"/>
      <c r="C17" s="68">
        <v>9</v>
      </c>
      <c r="D17" s="62" t="s">
        <v>102</v>
      </c>
      <c r="E17" s="61">
        <v>4</v>
      </c>
      <c r="F17" s="104"/>
      <c r="G17" s="104"/>
    </row>
    <row r="18" spans="1:7" ht="28" x14ac:dyDescent="0.35">
      <c r="A18" s="104"/>
      <c r="B18" s="104"/>
      <c r="C18" s="68">
        <v>10</v>
      </c>
      <c r="D18" s="62" t="s">
        <v>103</v>
      </c>
      <c r="E18" s="61">
        <v>6</v>
      </c>
      <c r="F18" s="104"/>
      <c r="G18" s="104"/>
    </row>
    <row r="19" spans="1:7" x14ac:dyDescent="0.35">
      <c r="A19" s="104"/>
      <c r="B19" s="104"/>
      <c r="C19" s="68">
        <v>11</v>
      </c>
      <c r="D19" s="62"/>
      <c r="E19" s="61"/>
      <c r="F19" s="104"/>
      <c r="G19" s="104"/>
    </row>
    <row r="20" spans="1:7" x14ac:dyDescent="0.35">
      <c r="A20" s="104"/>
      <c r="B20" s="104"/>
      <c r="C20" s="68">
        <v>12</v>
      </c>
      <c r="D20" s="62"/>
      <c r="E20" s="61"/>
      <c r="F20" s="104"/>
      <c r="G20" s="104"/>
    </row>
    <row r="21" spans="1:7" x14ac:dyDescent="0.35">
      <c r="A21" s="104"/>
      <c r="B21" s="104"/>
      <c r="C21" s="68">
        <v>13</v>
      </c>
      <c r="D21" s="62"/>
      <c r="E21" s="61"/>
      <c r="F21" s="104"/>
      <c r="G21" s="104"/>
    </row>
    <row r="22" spans="1:7" x14ac:dyDescent="0.35">
      <c r="A22" s="104"/>
      <c r="B22" s="104"/>
      <c r="C22" s="68">
        <v>14</v>
      </c>
      <c r="D22" s="62"/>
      <c r="E22" s="61"/>
      <c r="F22" s="104"/>
      <c r="G22" s="104"/>
    </row>
    <row r="23" spans="1:7" x14ac:dyDescent="0.35">
      <c r="A23" s="104"/>
      <c r="B23" s="104"/>
      <c r="C23" s="68">
        <v>15</v>
      </c>
      <c r="D23" s="62"/>
      <c r="E23" s="61"/>
      <c r="F23" s="104"/>
      <c r="G23" s="104"/>
    </row>
    <row r="24" spans="1:7" x14ac:dyDescent="0.35">
      <c r="A24" s="104"/>
      <c r="B24" s="104"/>
      <c r="C24" s="68">
        <v>16</v>
      </c>
      <c r="D24" s="62"/>
      <c r="E24" s="61"/>
      <c r="F24" s="104"/>
      <c r="G24" s="104"/>
    </row>
    <row r="25" spans="1:7" x14ac:dyDescent="0.35">
      <c r="A25" s="104"/>
      <c r="B25" s="104"/>
      <c r="C25" s="68">
        <v>17</v>
      </c>
      <c r="D25" s="62"/>
      <c r="E25" s="61"/>
      <c r="F25" s="104"/>
      <c r="G25" s="104"/>
    </row>
    <row r="26" spans="1:7" x14ac:dyDescent="0.35">
      <c r="A26" s="104"/>
      <c r="B26" s="104"/>
      <c r="C26" s="68">
        <v>18</v>
      </c>
      <c r="D26" s="62"/>
      <c r="E26" s="61"/>
      <c r="F26" s="104"/>
      <c r="G26" s="104"/>
    </row>
    <row r="27" spans="1:7" x14ac:dyDescent="0.35">
      <c r="A27" s="104"/>
      <c r="B27" s="104"/>
      <c r="C27" s="68">
        <v>19</v>
      </c>
      <c r="D27" s="62"/>
      <c r="E27" s="61"/>
      <c r="F27" s="104"/>
      <c r="G27" s="104"/>
    </row>
    <row r="28" spans="1:7" x14ac:dyDescent="0.35">
      <c r="A28" s="104"/>
      <c r="B28" s="104"/>
      <c r="C28" s="68">
        <v>20</v>
      </c>
      <c r="D28" s="62"/>
      <c r="E28" s="61"/>
      <c r="F28" s="104"/>
      <c r="G28" s="104"/>
    </row>
    <row r="29" spans="1:7" x14ac:dyDescent="0.35">
      <c r="A29" s="104"/>
      <c r="B29" s="104"/>
      <c r="C29" s="68">
        <v>21</v>
      </c>
      <c r="D29" s="62"/>
      <c r="E29" s="61"/>
      <c r="F29" s="104"/>
      <c r="G29" s="104"/>
    </row>
    <row r="30" spans="1:7" x14ac:dyDescent="0.35">
      <c r="A30" s="104"/>
      <c r="B30" s="104"/>
      <c r="C30" s="68">
        <v>22</v>
      </c>
      <c r="D30" s="62"/>
      <c r="E30" s="61"/>
      <c r="F30" s="104"/>
      <c r="G30" s="104"/>
    </row>
    <row r="31" spans="1:7" x14ac:dyDescent="0.35">
      <c r="A31" s="104"/>
      <c r="B31" s="104"/>
      <c r="C31" s="68">
        <v>23</v>
      </c>
      <c r="D31" s="62"/>
      <c r="E31" s="61"/>
      <c r="F31" s="104"/>
      <c r="G31" s="104"/>
    </row>
    <row r="32" spans="1:7" x14ac:dyDescent="0.35">
      <c r="A32" s="104"/>
      <c r="B32" s="104"/>
      <c r="C32" s="68">
        <v>24</v>
      </c>
      <c r="D32" s="62"/>
      <c r="E32" s="61"/>
      <c r="F32" s="104"/>
      <c r="G32" s="104"/>
    </row>
    <row r="33" spans="1:7" x14ac:dyDescent="0.35">
      <c r="A33" s="104"/>
      <c r="B33" s="104"/>
      <c r="C33" s="68">
        <v>25</v>
      </c>
      <c r="D33" s="62"/>
      <c r="E33" s="61"/>
      <c r="F33" s="95"/>
      <c r="G33" s="104"/>
    </row>
    <row r="34" spans="1:7" ht="54.5" customHeight="1" x14ac:dyDescent="0.35">
      <c r="A34" s="104"/>
      <c r="B34" s="104"/>
      <c r="C34" s="100" t="s">
        <v>112</v>
      </c>
      <c r="D34" s="93"/>
      <c r="E34" s="61">
        <v>8</v>
      </c>
      <c r="F34" s="61">
        <f t="shared" ref="F34:F39" si="0">E34*$F$4</f>
        <v>31600</v>
      </c>
      <c r="G34" s="104"/>
    </row>
    <row r="35" spans="1:7" ht="45" customHeight="1" x14ac:dyDescent="0.35">
      <c r="A35" s="104"/>
      <c r="B35" s="104"/>
      <c r="C35" s="100" t="s">
        <v>113</v>
      </c>
      <c r="D35" s="93"/>
      <c r="E35" s="61">
        <v>6</v>
      </c>
      <c r="F35" s="61">
        <f t="shared" si="0"/>
        <v>23700</v>
      </c>
      <c r="G35" s="104"/>
    </row>
    <row r="36" spans="1:7" ht="32.5" customHeight="1" x14ac:dyDescent="0.35">
      <c r="A36" s="104"/>
      <c r="B36" s="104"/>
      <c r="C36" s="100" t="s">
        <v>114</v>
      </c>
      <c r="D36" s="93"/>
      <c r="E36" s="61">
        <v>4</v>
      </c>
      <c r="F36" s="61">
        <f t="shared" si="0"/>
        <v>15800</v>
      </c>
      <c r="G36" s="104"/>
    </row>
    <row r="37" spans="1:7" ht="31" customHeight="1" x14ac:dyDescent="0.35">
      <c r="A37" s="107" t="s">
        <v>15</v>
      </c>
      <c r="B37" s="103" t="s">
        <v>115</v>
      </c>
      <c r="C37" s="100" t="s">
        <v>116</v>
      </c>
      <c r="D37" s="93"/>
      <c r="E37" s="61">
        <v>0</v>
      </c>
      <c r="F37" s="61">
        <f t="shared" si="0"/>
        <v>0</v>
      </c>
      <c r="G37" s="106">
        <v>0</v>
      </c>
    </row>
    <row r="38" spans="1:7" ht="32.5" customHeight="1" x14ac:dyDescent="0.35">
      <c r="A38" s="104"/>
      <c r="B38" s="104"/>
      <c r="C38" s="100" t="s">
        <v>117</v>
      </c>
      <c r="D38" s="93"/>
      <c r="E38" s="61">
        <v>0</v>
      </c>
      <c r="F38" s="61">
        <f t="shared" si="0"/>
        <v>0</v>
      </c>
      <c r="G38" s="104"/>
    </row>
    <row r="39" spans="1:7" ht="30" customHeight="1" x14ac:dyDescent="0.35">
      <c r="A39" s="95"/>
      <c r="B39" s="95"/>
      <c r="C39" s="100" t="s">
        <v>118</v>
      </c>
      <c r="D39" s="93"/>
      <c r="E39" s="61">
        <v>0</v>
      </c>
      <c r="F39" s="61">
        <f t="shared" si="0"/>
        <v>0</v>
      </c>
      <c r="G39" s="95"/>
    </row>
    <row r="40" spans="1:7" s="64" customFormat="1" ht="14.5" x14ac:dyDescent="0.35">
      <c r="A40" s="116" t="s">
        <v>119</v>
      </c>
      <c r="B40" s="97"/>
      <c r="C40" s="97"/>
      <c r="D40" s="97"/>
      <c r="E40" s="93"/>
      <c r="F40" s="63">
        <f>SUM(F6:F39)</f>
        <v>387100</v>
      </c>
      <c r="G40" s="74">
        <f>SUM(G6:G39)</f>
        <v>15</v>
      </c>
    </row>
    <row r="41" spans="1:7" s="64" customFormat="1" ht="16" customHeight="1" x14ac:dyDescent="0.35">
      <c r="A41" s="123"/>
      <c r="B41" s="124"/>
      <c r="C41" s="124"/>
      <c r="D41" s="124"/>
      <c r="E41" s="124"/>
      <c r="G41" s="75"/>
    </row>
    <row r="42" spans="1:7" ht="34" customHeight="1" x14ac:dyDescent="0.35">
      <c r="A42" s="108"/>
      <c r="B42" s="109"/>
      <c r="C42" s="109"/>
      <c r="D42" s="110"/>
      <c r="E42" s="111"/>
      <c r="F42" s="111"/>
      <c r="G42" s="112"/>
    </row>
  </sheetData>
  <mergeCells count="28">
    <mergeCell ref="A42:G42"/>
    <mergeCell ref="B37:B39"/>
    <mergeCell ref="A1:G1"/>
    <mergeCell ref="C36:D36"/>
    <mergeCell ref="G8:G36"/>
    <mergeCell ref="C39:D39"/>
    <mergeCell ref="C8:D8"/>
    <mergeCell ref="G37:G39"/>
    <mergeCell ref="A4:E4"/>
    <mergeCell ref="C7:D7"/>
    <mergeCell ref="C38:D38"/>
    <mergeCell ref="A3:G3"/>
    <mergeCell ref="C37:D37"/>
    <mergeCell ref="B8:B36"/>
    <mergeCell ref="A37:A39"/>
    <mergeCell ref="C35:D35"/>
    <mergeCell ref="A2:F2"/>
    <mergeCell ref="A8:A36"/>
    <mergeCell ref="A41:E41"/>
    <mergeCell ref="F8:F33"/>
    <mergeCell ref="B6:B7"/>
    <mergeCell ref="A40:E40"/>
    <mergeCell ref="C34:D34"/>
    <mergeCell ref="F4:G4"/>
    <mergeCell ref="C6:D6"/>
    <mergeCell ref="C5:D5"/>
    <mergeCell ref="A6:A7"/>
    <mergeCell ref="G6:G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5"/>
  <sheetViews>
    <sheetView workbookViewId="0"/>
  </sheetViews>
  <sheetFormatPr defaultColWidth="8.90625" defaultRowHeight="14.5" x14ac:dyDescent="0.35"/>
  <cols>
    <col min="1" max="1" width="48.90625" customWidth="1"/>
    <col min="2" max="2" width="28.6328125" customWidth="1"/>
    <col min="3" max="3" width="23.453125" customWidth="1"/>
    <col min="4" max="4" width="23.6328125" customWidth="1"/>
  </cols>
  <sheetData>
    <row r="1" spans="1:5" x14ac:dyDescent="0.35">
      <c r="A1" t="s">
        <v>120</v>
      </c>
      <c r="B1">
        <v>11</v>
      </c>
      <c r="E1">
        <v>11</v>
      </c>
    </row>
    <row r="2" spans="1:5" x14ac:dyDescent="0.35">
      <c r="A2" t="s">
        <v>121</v>
      </c>
      <c r="B2">
        <v>22</v>
      </c>
      <c r="E2">
        <v>22</v>
      </c>
    </row>
    <row r="3" spans="1:5" x14ac:dyDescent="0.35">
      <c r="A3" t="s">
        <v>122</v>
      </c>
      <c r="B3">
        <v>22</v>
      </c>
      <c r="E3">
        <v>22</v>
      </c>
    </row>
    <row r="4" spans="1:5" x14ac:dyDescent="0.35">
      <c r="A4" t="s">
        <v>123</v>
      </c>
      <c r="B4">
        <v>32</v>
      </c>
      <c r="E4">
        <v>32</v>
      </c>
    </row>
    <row r="5" spans="1:5" x14ac:dyDescent="0.35">
      <c r="A5" t="s">
        <v>124</v>
      </c>
      <c r="E5">
        <v>32</v>
      </c>
    </row>
    <row r="6" spans="1:5" x14ac:dyDescent="0.35">
      <c r="A6" t="s">
        <v>125</v>
      </c>
      <c r="B6">
        <v>22</v>
      </c>
      <c r="E6">
        <v>32</v>
      </c>
    </row>
    <row r="7" spans="1:5" x14ac:dyDescent="0.35">
      <c r="A7" t="s">
        <v>126</v>
      </c>
      <c r="B7">
        <v>32</v>
      </c>
      <c r="E7">
        <v>32</v>
      </c>
    </row>
    <row r="8" spans="1:5" x14ac:dyDescent="0.35">
      <c r="A8" t="s">
        <v>127</v>
      </c>
      <c r="B8">
        <v>11</v>
      </c>
      <c r="E8">
        <v>32</v>
      </c>
    </row>
    <row r="9" spans="1:5" x14ac:dyDescent="0.35">
      <c r="B9">
        <v>0</v>
      </c>
      <c r="E9">
        <v>32</v>
      </c>
    </row>
    <row r="10" spans="1:5" x14ac:dyDescent="0.35">
      <c r="B10">
        <f>SUM(B1:B9)</f>
        <v>152</v>
      </c>
      <c r="E10">
        <v>32</v>
      </c>
    </row>
    <row r="11" spans="1:5" x14ac:dyDescent="0.35">
      <c r="E11">
        <f>SUM(E1:E10)</f>
        <v>279</v>
      </c>
    </row>
    <row r="18" spans="1:4" x14ac:dyDescent="0.35">
      <c r="A18">
        <v>367</v>
      </c>
      <c r="B18">
        <f>A18/8</f>
        <v>45.875</v>
      </c>
    </row>
    <row r="19" spans="1:4" ht="10" customHeight="1" x14ac:dyDescent="0.35"/>
    <row r="20" spans="1:4" ht="28" customHeight="1" x14ac:dyDescent="0.35">
      <c r="B20" s="22" t="s">
        <v>128</v>
      </c>
      <c r="C20" s="23" t="s">
        <v>129</v>
      </c>
      <c r="D20" s="23" t="s">
        <v>130</v>
      </c>
    </row>
    <row r="21" spans="1:4" ht="39.5" customHeight="1" x14ac:dyDescent="0.35">
      <c r="B21" s="24" t="s">
        <v>131</v>
      </c>
      <c r="C21" s="25" t="s">
        <v>132</v>
      </c>
      <c r="D21" s="25" t="s">
        <v>133</v>
      </c>
    </row>
    <row r="22" spans="1:4" ht="38.5" customHeight="1" x14ac:dyDescent="0.35">
      <c r="B22" s="24" t="s">
        <v>134</v>
      </c>
      <c r="C22" s="25" t="s">
        <v>135</v>
      </c>
      <c r="D22" s="25" t="s">
        <v>136</v>
      </c>
    </row>
    <row r="23" spans="1:4" ht="41" customHeight="1" x14ac:dyDescent="0.35">
      <c r="B23" s="24" t="s">
        <v>137</v>
      </c>
      <c r="C23" s="25" t="s">
        <v>138</v>
      </c>
      <c r="D23" s="25" t="s">
        <v>139</v>
      </c>
    </row>
    <row r="24" spans="1:4" ht="45" customHeight="1" x14ac:dyDescent="0.35">
      <c r="B24" s="24" t="s">
        <v>140</v>
      </c>
      <c r="C24" s="25" t="s">
        <v>141</v>
      </c>
      <c r="D24" s="25" t="s">
        <v>142</v>
      </c>
    </row>
    <row r="25" spans="1:4" ht="43" customHeight="1" x14ac:dyDescent="0.35">
      <c r="B25" s="24" t="s">
        <v>143</v>
      </c>
      <c r="C25" s="25" t="s">
        <v>144</v>
      </c>
      <c r="D25" s="25" t="s">
        <v>145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0" tint="-0.249977111117893"/>
  </sheetPr>
  <dimension ref="A1:D42"/>
  <sheetViews>
    <sheetView tabSelected="1" topLeftCell="A23" workbookViewId="0">
      <selection sqref="A1:D1"/>
    </sheetView>
  </sheetViews>
  <sheetFormatPr defaultColWidth="10" defaultRowHeight="14.5" x14ac:dyDescent="0.35"/>
  <cols>
    <col min="1" max="1" width="5.08984375" style="79" customWidth="1"/>
    <col min="2" max="2" width="62.36328125" style="78" customWidth="1"/>
    <col min="3" max="3" width="18.36328125" style="80" customWidth="1"/>
    <col min="4" max="4" width="43.54296875" style="91" customWidth="1"/>
    <col min="5" max="5" width="10" style="77" customWidth="1"/>
    <col min="6" max="16384" width="10" style="77"/>
  </cols>
  <sheetData>
    <row r="1" spans="1:4" ht="12" customHeight="1" x14ac:dyDescent="0.35">
      <c r="A1" s="129" t="s">
        <v>149</v>
      </c>
      <c r="B1" s="130"/>
      <c r="C1" s="131"/>
      <c r="D1" s="132"/>
    </row>
    <row r="2" spans="1:4" ht="12" customHeight="1" x14ac:dyDescent="0.35">
      <c r="A2" s="129" t="s">
        <v>150</v>
      </c>
      <c r="B2" s="130"/>
      <c r="C2" s="131"/>
      <c r="D2" s="132"/>
    </row>
    <row r="3" spans="1:4" s="84" customFormat="1" x14ac:dyDescent="0.35">
      <c r="A3" s="81" t="s">
        <v>1</v>
      </c>
      <c r="B3" s="81" t="s">
        <v>151</v>
      </c>
      <c r="C3" s="82" t="s">
        <v>152</v>
      </c>
      <c r="D3" s="83" t="s">
        <v>153</v>
      </c>
    </row>
    <row r="4" spans="1:4" s="84" customFormat="1" ht="10.5" customHeight="1" x14ac:dyDescent="0.35">
      <c r="A4" s="85" t="s">
        <v>8</v>
      </c>
      <c r="B4" s="128" t="s">
        <v>154</v>
      </c>
      <c r="C4" s="97"/>
      <c r="D4" s="93"/>
    </row>
    <row r="5" spans="1:4" ht="10.5" customHeight="1" x14ac:dyDescent="0.35">
      <c r="A5" s="86" t="s">
        <v>155</v>
      </c>
      <c r="B5" s="87" t="s">
        <v>156</v>
      </c>
      <c r="C5" s="133" t="s">
        <v>157</v>
      </c>
      <c r="D5" s="93"/>
    </row>
    <row r="6" spans="1:4" ht="10.5" customHeight="1" x14ac:dyDescent="0.35">
      <c r="A6" s="86" t="s">
        <v>158</v>
      </c>
      <c r="B6" s="87" t="s">
        <v>159</v>
      </c>
      <c r="C6" s="133" t="s">
        <v>160</v>
      </c>
      <c r="D6" s="93"/>
    </row>
    <row r="7" spans="1:4" ht="10.5" customHeight="1" x14ac:dyDescent="0.35">
      <c r="A7" s="86" t="s">
        <v>161</v>
      </c>
      <c r="B7" s="87" t="s">
        <v>162</v>
      </c>
      <c r="C7" s="133" t="s">
        <v>163</v>
      </c>
      <c r="D7" s="93"/>
    </row>
    <row r="8" spans="1:4" x14ac:dyDescent="0.35">
      <c r="A8" s="86"/>
      <c r="B8" s="87"/>
      <c r="C8" s="133"/>
      <c r="D8" s="93"/>
    </row>
    <row r="9" spans="1:4" x14ac:dyDescent="0.35">
      <c r="A9" s="86"/>
      <c r="B9" s="87"/>
      <c r="C9" s="133"/>
      <c r="D9" s="93"/>
    </row>
    <row r="10" spans="1:4" s="84" customFormat="1" x14ac:dyDescent="0.35">
      <c r="A10" s="85" t="s">
        <v>8</v>
      </c>
      <c r="B10" s="128" t="s">
        <v>164</v>
      </c>
      <c r="C10" s="97"/>
      <c r="D10" s="93"/>
    </row>
    <row r="11" spans="1:4" ht="29" x14ac:dyDescent="0.35">
      <c r="A11" s="86" t="s">
        <v>165</v>
      </c>
      <c r="B11" s="87" t="s">
        <v>166</v>
      </c>
      <c r="C11" s="88" t="s">
        <v>167</v>
      </c>
      <c r="D11" s="89" t="s">
        <v>168</v>
      </c>
    </row>
    <row r="12" spans="1:4" ht="29" x14ac:dyDescent="0.35">
      <c r="A12" s="86" t="s">
        <v>158</v>
      </c>
      <c r="B12" s="87" t="s">
        <v>169</v>
      </c>
      <c r="C12" s="88" t="s">
        <v>167</v>
      </c>
      <c r="D12" s="89" t="s">
        <v>170</v>
      </c>
    </row>
    <row r="13" spans="1:4" ht="29" x14ac:dyDescent="0.35">
      <c r="A13" s="86" t="s">
        <v>165</v>
      </c>
      <c r="B13" s="87" t="s">
        <v>171</v>
      </c>
      <c r="C13" s="88" t="s">
        <v>167</v>
      </c>
      <c r="D13" s="89" t="s">
        <v>172</v>
      </c>
    </row>
    <row r="14" spans="1:4" ht="28.75" customHeight="1" x14ac:dyDescent="0.35">
      <c r="A14" s="86" t="s">
        <v>161</v>
      </c>
      <c r="B14" s="87" t="s">
        <v>173</v>
      </c>
      <c r="C14" s="88" t="s">
        <v>167</v>
      </c>
      <c r="D14" s="89" t="s">
        <v>174</v>
      </c>
    </row>
    <row r="15" spans="1:4" ht="29" x14ac:dyDescent="0.35">
      <c r="A15" s="86" t="s">
        <v>165</v>
      </c>
      <c r="B15" s="87" t="s">
        <v>175</v>
      </c>
      <c r="C15" s="88" t="s">
        <v>167</v>
      </c>
      <c r="D15" s="89" t="s">
        <v>176</v>
      </c>
    </row>
    <row r="16" spans="1:4" ht="19.149999999999999" customHeight="1" x14ac:dyDescent="0.35">
      <c r="A16" s="86" t="s">
        <v>177</v>
      </c>
      <c r="B16" s="87" t="s">
        <v>178</v>
      </c>
      <c r="C16" s="88" t="s">
        <v>167</v>
      </c>
      <c r="D16" s="89" t="s">
        <v>179</v>
      </c>
    </row>
    <row r="17" spans="1:4" ht="19.149999999999999" customHeight="1" x14ac:dyDescent="0.35">
      <c r="A17" s="86" t="s">
        <v>165</v>
      </c>
      <c r="B17" s="87" t="s">
        <v>180</v>
      </c>
      <c r="C17" s="88" t="s">
        <v>181</v>
      </c>
      <c r="D17" s="89" t="s">
        <v>182</v>
      </c>
    </row>
    <row r="18" spans="1:4" ht="28.75" customHeight="1" x14ac:dyDescent="0.35">
      <c r="A18" s="86" t="s">
        <v>183</v>
      </c>
      <c r="B18" s="87" t="s">
        <v>184</v>
      </c>
      <c r="C18" s="88" t="s">
        <v>167</v>
      </c>
      <c r="D18" s="89" t="s">
        <v>185</v>
      </c>
    </row>
    <row r="19" spans="1:4" s="84" customFormat="1" ht="10.5" customHeight="1" x14ac:dyDescent="0.35">
      <c r="A19" s="85" t="s">
        <v>12</v>
      </c>
      <c r="B19" s="128" t="s">
        <v>186</v>
      </c>
      <c r="C19" s="97"/>
      <c r="D19" s="93"/>
    </row>
    <row r="20" spans="1:4" ht="29" x14ac:dyDescent="0.35">
      <c r="A20" s="86" t="s">
        <v>187</v>
      </c>
      <c r="B20" s="90" t="s">
        <v>188</v>
      </c>
      <c r="C20" s="88" t="s">
        <v>167</v>
      </c>
      <c r="D20" s="89" t="s">
        <v>189</v>
      </c>
    </row>
    <row r="21" spans="1:4" ht="28.75" customHeight="1" x14ac:dyDescent="0.35">
      <c r="A21" s="86" t="s">
        <v>190</v>
      </c>
      <c r="B21" s="90" t="s">
        <v>191</v>
      </c>
      <c r="C21" s="88" t="s">
        <v>181</v>
      </c>
      <c r="D21" s="89" t="s">
        <v>192</v>
      </c>
    </row>
    <row r="22" spans="1:4" ht="19.149999999999999" customHeight="1" x14ac:dyDescent="0.35">
      <c r="A22" s="86" t="s">
        <v>193</v>
      </c>
      <c r="B22" s="87" t="s">
        <v>194</v>
      </c>
      <c r="C22" s="88" t="s">
        <v>181</v>
      </c>
      <c r="D22" s="89" t="s">
        <v>195</v>
      </c>
    </row>
    <row r="23" spans="1:4" ht="19.149999999999999" customHeight="1" x14ac:dyDescent="0.35">
      <c r="A23" s="86" t="s">
        <v>196</v>
      </c>
      <c r="B23" s="90" t="s">
        <v>197</v>
      </c>
      <c r="C23" s="88" t="s">
        <v>198</v>
      </c>
      <c r="D23" s="89"/>
    </row>
    <row r="24" spans="1:4" ht="19.149999999999999" customHeight="1" x14ac:dyDescent="0.35">
      <c r="A24" s="86" t="s">
        <v>199</v>
      </c>
      <c r="B24" s="90" t="s">
        <v>200</v>
      </c>
      <c r="C24" s="88" t="s">
        <v>167</v>
      </c>
      <c r="D24" s="89" t="s">
        <v>201</v>
      </c>
    </row>
    <row r="25" spans="1:4" ht="87" x14ac:dyDescent="0.35">
      <c r="A25" s="86" t="s">
        <v>202</v>
      </c>
      <c r="B25" s="90" t="s">
        <v>203</v>
      </c>
      <c r="C25" s="88" t="s">
        <v>204</v>
      </c>
      <c r="D25" s="89" t="s">
        <v>205</v>
      </c>
    </row>
    <row r="26" spans="1:4" ht="28.75" customHeight="1" x14ac:dyDescent="0.35">
      <c r="A26" s="86" t="s">
        <v>206</v>
      </c>
      <c r="B26" s="90" t="s">
        <v>207</v>
      </c>
      <c r="C26" s="88" t="s">
        <v>181</v>
      </c>
      <c r="D26" s="89" t="s">
        <v>208</v>
      </c>
    </row>
    <row r="27" spans="1:4" ht="28.75" customHeight="1" x14ac:dyDescent="0.35">
      <c r="A27" s="86" t="s">
        <v>209</v>
      </c>
      <c r="B27" s="90" t="s">
        <v>210</v>
      </c>
      <c r="C27" s="88" t="s">
        <v>181</v>
      </c>
      <c r="D27" s="89" t="s">
        <v>211</v>
      </c>
    </row>
    <row r="28" spans="1:4" ht="19.149999999999999" customHeight="1" x14ac:dyDescent="0.35">
      <c r="A28" s="86" t="s">
        <v>212</v>
      </c>
      <c r="B28" s="90" t="s">
        <v>213</v>
      </c>
      <c r="C28" s="88" t="s">
        <v>167</v>
      </c>
      <c r="D28" s="89" t="s">
        <v>214</v>
      </c>
    </row>
    <row r="29" spans="1:4" ht="19.149999999999999" customHeight="1" x14ac:dyDescent="0.35">
      <c r="A29" s="86" t="s">
        <v>215</v>
      </c>
      <c r="B29" s="90" t="s">
        <v>216</v>
      </c>
      <c r="C29" s="88" t="s">
        <v>217</v>
      </c>
      <c r="D29" s="89"/>
    </row>
    <row r="30" spans="1:4" ht="43.5" x14ac:dyDescent="0.35">
      <c r="A30" s="86" t="s">
        <v>218</v>
      </c>
      <c r="B30" s="90" t="s">
        <v>219</v>
      </c>
      <c r="C30" s="88" t="s">
        <v>220</v>
      </c>
      <c r="D30" s="89"/>
    </row>
    <row r="31" spans="1:4" ht="19.149999999999999" customHeight="1" x14ac:dyDescent="0.35">
      <c r="A31" s="86" t="s">
        <v>221</v>
      </c>
      <c r="B31" s="87" t="s">
        <v>222</v>
      </c>
      <c r="C31" s="88" t="s">
        <v>181</v>
      </c>
      <c r="D31" s="89" t="s">
        <v>223</v>
      </c>
    </row>
    <row r="32" spans="1:4" ht="19.149999999999999" customHeight="1" x14ac:dyDescent="0.35">
      <c r="A32" s="86" t="s">
        <v>224</v>
      </c>
      <c r="B32" s="87" t="s">
        <v>225</v>
      </c>
      <c r="C32" s="88" t="s">
        <v>167</v>
      </c>
      <c r="D32" s="89" t="s">
        <v>226</v>
      </c>
    </row>
    <row r="33" spans="1:4" ht="19.149999999999999" customHeight="1" x14ac:dyDescent="0.35">
      <c r="A33" s="86" t="s">
        <v>227</v>
      </c>
      <c r="B33" s="87" t="s">
        <v>228</v>
      </c>
      <c r="C33" s="88" t="s">
        <v>181</v>
      </c>
      <c r="D33" s="89" t="s">
        <v>229</v>
      </c>
    </row>
    <row r="34" spans="1:4" ht="28.75" customHeight="1" x14ac:dyDescent="0.35">
      <c r="A34" s="86" t="s">
        <v>230</v>
      </c>
      <c r="B34" s="87" t="s">
        <v>231</v>
      </c>
      <c r="C34" s="88" t="s">
        <v>181</v>
      </c>
      <c r="D34" s="89" t="s">
        <v>232</v>
      </c>
    </row>
    <row r="35" spans="1:4" ht="19.149999999999999" customHeight="1" x14ac:dyDescent="0.35">
      <c r="A35" s="86" t="s">
        <v>233</v>
      </c>
      <c r="B35" s="87" t="s">
        <v>234</v>
      </c>
      <c r="C35" s="88" t="s">
        <v>181</v>
      </c>
      <c r="D35" s="89" t="s">
        <v>235</v>
      </c>
    </row>
    <row r="36" spans="1:4" ht="29" x14ac:dyDescent="0.35">
      <c r="A36" s="86" t="s">
        <v>236</v>
      </c>
      <c r="B36" s="87" t="s">
        <v>237</v>
      </c>
      <c r="C36" s="88" t="s">
        <v>167</v>
      </c>
      <c r="D36" s="89" t="s">
        <v>238</v>
      </c>
    </row>
    <row r="37" spans="1:4" ht="19.149999999999999" customHeight="1" x14ac:dyDescent="0.35">
      <c r="A37" s="86" t="s">
        <v>239</v>
      </c>
      <c r="B37" s="87" t="s">
        <v>240</v>
      </c>
      <c r="C37" s="88" t="s">
        <v>181</v>
      </c>
      <c r="D37" s="89" t="s">
        <v>241</v>
      </c>
    </row>
    <row r="38" spans="1:4" ht="19.149999999999999" customHeight="1" x14ac:dyDescent="0.35">
      <c r="A38" s="86" t="s">
        <v>242</v>
      </c>
      <c r="B38" s="87" t="s">
        <v>243</v>
      </c>
      <c r="C38" s="88" t="s">
        <v>167</v>
      </c>
      <c r="D38" s="89" t="s">
        <v>244</v>
      </c>
    </row>
    <row r="39" spans="1:4" s="84" customFormat="1" ht="10.5" customHeight="1" x14ac:dyDescent="0.35">
      <c r="A39" s="85" t="s">
        <v>15</v>
      </c>
      <c r="B39" s="128" t="s">
        <v>245</v>
      </c>
      <c r="C39" s="97"/>
      <c r="D39" s="93"/>
    </row>
    <row r="40" spans="1:4" ht="29" x14ac:dyDescent="0.35">
      <c r="A40" s="86" t="s">
        <v>246</v>
      </c>
      <c r="B40" s="87" t="s">
        <v>247</v>
      </c>
      <c r="C40" s="88" t="s">
        <v>167</v>
      </c>
      <c r="D40" s="89" t="s">
        <v>248</v>
      </c>
    </row>
    <row r="41" spans="1:4" ht="28.75" customHeight="1" x14ac:dyDescent="0.35">
      <c r="A41" s="86" t="s">
        <v>249</v>
      </c>
      <c r="B41" s="87" t="s">
        <v>250</v>
      </c>
      <c r="C41" s="88" t="s">
        <v>167</v>
      </c>
      <c r="D41" s="89" t="s">
        <v>251</v>
      </c>
    </row>
    <row r="42" spans="1:4" ht="19.149999999999999" customHeight="1" x14ac:dyDescent="0.35">
      <c r="A42" s="86" t="s">
        <v>252</v>
      </c>
      <c r="B42" s="87" t="s">
        <v>253</v>
      </c>
      <c r="C42" s="88" t="s">
        <v>167</v>
      </c>
      <c r="D42" s="89" t="s">
        <v>254</v>
      </c>
    </row>
  </sheetData>
  <mergeCells count="11">
    <mergeCell ref="B39:D39"/>
    <mergeCell ref="C8:D8"/>
    <mergeCell ref="B10:D10"/>
    <mergeCell ref="A1:D1"/>
    <mergeCell ref="B19:D19"/>
    <mergeCell ref="C6:D6"/>
    <mergeCell ref="C7:D7"/>
    <mergeCell ref="B4:D4"/>
    <mergeCell ref="C5:D5"/>
    <mergeCell ref="A2:D2"/>
    <mergeCell ref="C9:D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0" tint="-0.249977111117893"/>
  </sheetPr>
  <dimension ref="A1:L52"/>
  <sheetViews>
    <sheetView topLeftCell="A22" workbookViewId="0">
      <selection activeCell="K54" sqref="K54"/>
    </sheetView>
  </sheetViews>
  <sheetFormatPr defaultColWidth="8.90625" defaultRowHeight="14.5" x14ac:dyDescent="0.35"/>
  <cols>
    <col min="1" max="1" width="25.90625" customWidth="1"/>
    <col min="2" max="2" width="12.453125" customWidth="1"/>
    <col min="3" max="3" width="82.453125" style="3" customWidth="1"/>
    <col min="4" max="4" width="11.08984375" customWidth="1"/>
    <col min="5" max="5" width="13.08984375" customWidth="1"/>
    <col min="6" max="6" width="13.6328125" customWidth="1"/>
    <col min="7" max="7" width="10.36328125" customWidth="1"/>
    <col min="8" max="8" width="6.90625" customWidth="1"/>
    <col min="9" max="9" width="2.453125" customWidth="1"/>
    <col min="10" max="10" width="4.90625" customWidth="1"/>
    <col min="11" max="11" width="59.36328125" style="3" customWidth="1"/>
  </cols>
  <sheetData>
    <row r="1" spans="1:12" ht="28.75" customHeight="1" x14ac:dyDescent="0.35">
      <c r="A1" s="11" t="s">
        <v>3</v>
      </c>
      <c r="B1" s="11" t="s">
        <v>4</v>
      </c>
      <c r="C1" s="12" t="s">
        <v>255</v>
      </c>
      <c r="D1" s="12" t="s">
        <v>256</v>
      </c>
      <c r="E1" s="12" t="s">
        <v>257</v>
      </c>
      <c r="F1" s="12" t="s">
        <v>258</v>
      </c>
      <c r="G1" s="12" t="s">
        <v>259</v>
      </c>
      <c r="H1" s="11" t="s">
        <v>146</v>
      </c>
      <c r="I1" s="11" t="s">
        <v>147</v>
      </c>
      <c r="J1" s="11" t="s">
        <v>148</v>
      </c>
      <c r="K1" s="3" t="s">
        <v>260</v>
      </c>
      <c r="L1">
        <v>5</v>
      </c>
    </row>
    <row r="2" spans="1:12" ht="27.4" customHeight="1" x14ac:dyDescent="0.35">
      <c r="A2" s="7" t="s">
        <v>14</v>
      </c>
      <c r="B2" s="8" t="s">
        <v>11</v>
      </c>
      <c r="C2" s="18" t="s">
        <v>261</v>
      </c>
      <c r="D2" s="19">
        <v>4</v>
      </c>
      <c r="E2" s="19">
        <v>0</v>
      </c>
      <c r="F2" s="19">
        <f t="shared" ref="F2:F8" si="0">ROUNDUP((D2+E2)/3,0)</f>
        <v>2</v>
      </c>
      <c r="G2" s="19">
        <f t="shared" ref="G2:G40" si="1">SUM(D2:F2)</f>
        <v>6</v>
      </c>
      <c r="H2" s="20">
        <v>1</v>
      </c>
      <c r="I2" s="20">
        <f t="shared" ref="I2:I40" si="2">E2/G2</f>
        <v>0</v>
      </c>
      <c r="J2" s="20">
        <v>0</v>
      </c>
      <c r="K2" s="3" t="s">
        <v>262</v>
      </c>
    </row>
    <row r="3" spans="1:12" ht="22.65" customHeight="1" x14ac:dyDescent="0.35">
      <c r="A3" s="7" t="s">
        <v>14</v>
      </c>
      <c r="B3" s="8" t="s">
        <v>18</v>
      </c>
      <c r="C3" s="18" t="s">
        <v>263</v>
      </c>
      <c r="D3" s="19">
        <v>12</v>
      </c>
      <c r="E3" s="19">
        <v>0</v>
      </c>
      <c r="F3" s="19">
        <f t="shared" si="0"/>
        <v>4</v>
      </c>
      <c r="G3" s="19">
        <f t="shared" si="1"/>
        <v>16</v>
      </c>
      <c r="H3" s="20">
        <v>1</v>
      </c>
      <c r="I3" s="20">
        <f t="shared" si="2"/>
        <v>0</v>
      </c>
      <c r="J3" s="20">
        <v>0</v>
      </c>
      <c r="K3" s="3" t="s">
        <v>262</v>
      </c>
    </row>
    <row r="4" spans="1:12" ht="32.65" customHeight="1" x14ac:dyDescent="0.35">
      <c r="A4" s="7" t="s">
        <v>14</v>
      </c>
      <c r="B4" s="8" t="s">
        <v>264</v>
      </c>
      <c r="C4" s="18" t="s">
        <v>265</v>
      </c>
      <c r="D4" s="19">
        <v>24</v>
      </c>
      <c r="E4" s="19">
        <v>0</v>
      </c>
      <c r="F4" s="19">
        <f t="shared" si="0"/>
        <v>8</v>
      </c>
      <c r="G4" s="19">
        <f t="shared" si="1"/>
        <v>32</v>
      </c>
      <c r="H4" s="20">
        <v>1</v>
      </c>
      <c r="I4" s="20">
        <f t="shared" si="2"/>
        <v>0</v>
      </c>
      <c r="J4" s="20">
        <v>0</v>
      </c>
      <c r="K4" s="3" t="s">
        <v>262</v>
      </c>
    </row>
    <row r="5" spans="1:12" ht="76.75" customHeight="1" x14ac:dyDescent="0.35">
      <c r="A5" s="7" t="s">
        <v>266</v>
      </c>
      <c r="B5" s="8" t="s">
        <v>11</v>
      </c>
      <c r="C5" s="18" t="s">
        <v>267</v>
      </c>
      <c r="D5" s="19">
        <v>4</v>
      </c>
      <c r="E5" s="19">
        <v>0</v>
      </c>
      <c r="F5" s="19">
        <f t="shared" si="0"/>
        <v>2</v>
      </c>
      <c r="G5" s="19">
        <f t="shared" si="1"/>
        <v>6</v>
      </c>
      <c r="H5" s="20">
        <v>1</v>
      </c>
      <c r="I5" s="20">
        <f t="shared" si="2"/>
        <v>0</v>
      </c>
      <c r="J5" s="20">
        <v>0</v>
      </c>
      <c r="K5" s="3" t="s">
        <v>262</v>
      </c>
    </row>
    <row r="6" spans="1:12" ht="76.75" customHeight="1" x14ac:dyDescent="0.35">
      <c r="A6" s="7" t="s">
        <v>266</v>
      </c>
      <c r="B6" s="8" t="s">
        <v>18</v>
      </c>
      <c r="C6" s="18" t="s">
        <v>268</v>
      </c>
      <c r="D6" s="19">
        <v>10</v>
      </c>
      <c r="E6" s="19">
        <v>0</v>
      </c>
      <c r="F6" s="19">
        <f t="shared" si="0"/>
        <v>4</v>
      </c>
      <c r="G6" s="19">
        <f t="shared" si="1"/>
        <v>14</v>
      </c>
      <c r="H6" s="20">
        <v>1</v>
      </c>
      <c r="I6" s="20">
        <f t="shared" si="2"/>
        <v>0</v>
      </c>
      <c r="J6" s="20">
        <v>0</v>
      </c>
      <c r="K6" s="3" t="s">
        <v>269</v>
      </c>
    </row>
    <row r="7" spans="1:12" ht="76.75" customHeight="1" x14ac:dyDescent="0.35">
      <c r="A7" s="7" t="s">
        <v>266</v>
      </c>
      <c r="B7" s="8" t="s">
        <v>264</v>
      </c>
      <c r="C7" s="18" t="s">
        <v>270</v>
      </c>
      <c r="D7" s="19">
        <v>24</v>
      </c>
      <c r="E7" s="19">
        <v>0</v>
      </c>
      <c r="F7" s="19">
        <f t="shared" si="0"/>
        <v>8</v>
      </c>
      <c r="G7" s="19">
        <f t="shared" si="1"/>
        <v>32</v>
      </c>
      <c r="H7" s="20">
        <v>1</v>
      </c>
      <c r="I7" s="20">
        <f t="shared" si="2"/>
        <v>0</v>
      </c>
      <c r="J7" s="20">
        <v>0</v>
      </c>
      <c r="K7" s="3" t="s">
        <v>262</v>
      </c>
    </row>
    <row r="8" spans="1:12" ht="19.149999999999999" customHeight="1" x14ac:dyDescent="0.35">
      <c r="A8" s="7" t="s">
        <v>271</v>
      </c>
      <c r="B8" s="8" t="s">
        <v>11</v>
      </c>
      <c r="C8" s="18" t="s">
        <v>272</v>
      </c>
      <c r="D8" s="19">
        <v>6</v>
      </c>
      <c r="E8" s="19">
        <v>0</v>
      </c>
      <c r="F8" s="19">
        <f t="shared" si="0"/>
        <v>2</v>
      </c>
      <c r="G8" s="19">
        <f t="shared" si="1"/>
        <v>8</v>
      </c>
      <c r="H8" s="20">
        <v>1</v>
      </c>
      <c r="I8" s="20">
        <f t="shared" si="2"/>
        <v>0</v>
      </c>
      <c r="J8" s="20">
        <v>0</v>
      </c>
      <c r="K8" s="3" t="s">
        <v>262</v>
      </c>
    </row>
    <row r="9" spans="1:12" ht="19.149999999999999" customHeight="1" x14ac:dyDescent="0.35">
      <c r="A9" s="7" t="s">
        <v>271</v>
      </c>
      <c r="B9" s="8" t="s">
        <v>18</v>
      </c>
      <c r="C9" s="18" t="s">
        <v>273</v>
      </c>
      <c r="D9" s="19">
        <v>10</v>
      </c>
      <c r="E9" s="19">
        <v>0</v>
      </c>
      <c r="F9" s="19">
        <v>3</v>
      </c>
      <c r="G9" s="19">
        <f t="shared" si="1"/>
        <v>13</v>
      </c>
      <c r="H9" s="20">
        <v>1</v>
      </c>
      <c r="I9" s="20">
        <f t="shared" si="2"/>
        <v>0</v>
      </c>
      <c r="J9" s="20">
        <v>0</v>
      </c>
      <c r="K9" s="3" t="s">
        <v>262</v>
      </c>
    </row>
    <row r="10" spans="1:12" ht="19.149999999999999" customHeight="1" x14ac:dyDescent="0.35">
      <c r="A10" s="7" t="s">
        <v>271</v>
      </c>
      <c r="B10" s="8" t="s">
        <v>264</v>
      </c>
      <c r="C10" s="18" t="s">
        <v>274</v>
      </c>
      <c r="D10" s="19">
        <v>24</v>
      </c>
      <c r="E10" s="19">
        <v>0</v>
      </c>
      <c r="F10" s="19">
        <f t="shared" ref="F10:F40" si="3">ROUNDUP((D10+E10)/3,0)</f>
        <v>8</v>
      </c>
      <c r="G10" s="19">
        <f t="shared" si="1"/>
        <v>32</v>
      </c>
      <c r="H10" s="20">
        <v>1</v>
      </c>
      <c r="I10" s="20">
        <f t="shared" si="2"/>
        <v>0</v>
      </c>
      <c r="J10" s="20">
        <v>0</v>
      </c>
      <c r="K10" s="3" t="s">
        <v>262</v>
      </c>
    </row>
    <row r="11" spans="1:12" ht="19.149999999999999" customHeight="1" x14ac:dyDescent="0.35">
      <c r="A11" s="7" t="s">
        <v>275</v>
      </c>
      <c r="B11" s="8" t="s">
        <v>11</v>
      </c>
      <c r="C11" s="18" t="s">
        <v>276</v>
      </c>
      <c r="D11" s="19">
        <v>4</v>
      </c>
      <c r="E11" s="19">
        <v>0</v>
      </c>
      <c r="F11" s="19">
        <f t="shared" si="3"/>
        <v>2</v>
      </c>
      <c r="G11" s="19">
        <f t="shared" si="1"/>
        <v>6</v>
      </c>
      <c r="H11" s="20">
        <v>1</v>
      </c>
      <c r="I11" s="20">
        <f t="shared" si="2"/>
        <v>0</v>
      </c>
      <c r="J11" s="20">
        <v>0</v>
      </c>
      <c r="K11" s="3" t="s">
        <v>262</v>
      </c>
    </row>
    <row r="12" spans="1:12" ht="19.149999999999999" customHeight="1" x14ac:dyDescent="0.35">
      <c r="A12" s="7" t="s">
        <v>275</v>
      </c>
      <c r="B12" s="8" t="s">
        <v>18</v>
      </c>
      <c r="C12" s="18" t="s">
        <v>277</v>
      </c>
      <c r="D12" s="19">
        <v>8</v>
      </c>
      <c r="E12" s="19">
        <v>0</v>
      </c>
      <c r="F12" s="19">
        <f t="shared" si="3"/>
        <v>3</v>
      </c>
      <c r="G12" s="19">
        <f t="shared" si="1"/>
        <v>11</v>
      </c>
      <c r="H12" s="20">
        <v>1</v>
      </c>
      <c r="I12" s="20">
        <f t="shared" si="2"/>
        <v>0</v>
      </c>
      <c r="J12" s="20">
        <v>0</v>
      </c>
      <c r="K12" s="3" t="s">
        <v>262</v>
      </c>
    </row>
    <row r="13" spans="1:12" ht="19.149999999999999" customHeight="1" x14ac:dyDescent="0.35">
      <c r="A13" s="7" t="s">
        <v>275</v>
      </c>
      <c r="B13" s="8" t="s">
        <v>264</v>
      </c>
      <c r="C13" s="18" t="s">
        <v>278</v>
      </c>
      <c r="D13" s="19">
        <v>20</v>
      </c>
      <c r="E13" s="19">
        <v>0</v>
      </c>
      <c r="F13" s="19">
        <f t="shared" si="3"/>
        <v>7</v>
      </c>
      <c r="G13" s="19">
        <f t="shared" si="1"/>
        <v>27</v>
      </c>
      <c r="H13" s="20">
        <v>1</v>
      </c>
      <c r="I13" s="20">
        <f t="shared" si="2"/>
        <v>0</v>
      </c>
      <c r="J13" s="20">
        <v>0</v>
      </c>
      <c r="K13" s="3" t="s">
        <v>262</v>
      </c>
    </row>
    <row r="14" spans="1:12" ht="19.149999999999999" customHeight="1" x14ac:dyDescent="0.35">
      <c r="A14" s="18" t="s">
        <v>279</v>
      </c>
      <c r="B14" s="8" t="s">
        <v>11</v>
      </c>
      <c r="C14" s="18" t="s">
        <v>280</v>
      </c>
      <c r="D14" s="19">
        <v>4</v>
      </c>
      <c r="E14" s="19">
        <v>0</v>
      </c>
      <c r="F14" s="19">
        <f t="shared" si="3"/>
        <v>2</v>
      </c>
      <c r="G14" s="19">
        <f t="shared" si="1"/>
        <v>6</v>
      </c>
      <c r="H14" s="20">
        <v>1</v>
      </c>
      <c r="I14" s="20">
        <f t="shared" si="2"/>
        <v>0</v>
      </c>
      <c r="J14" s="20">
        <v>0</v>
      </c>
      <c r="K14" s="3" t="s">
        <v>262</v>
      </c>
    </row>
    <row r="15" spans="1:12" ht="19.149999999999999" customHeight="1" x14ac:dyDescent="0.35">
      <c r="A15" s="18" t="s">
        <v>279</v>
      </c>
      <c r="B15" s="8" t="s">
        <v>18</v>
      </c>
      <c r="C15" s="18" t="s">
        <v>281</v>
      </c>
      <c r="D15" s="19">
        <v>8</v>
      </c>
      <c r="E15" s="19">
        <v>0</v>
      </c>
      <c r="F15" s="19">
        <f t="shared" si="3"/>
        <v>3</v>
      </c>
      <c r="G15" s="19">
        <f t="shared" si="1"/>
        <v>11</v>
      </c>
      <c r="H15" s="20">
        <v>1</v>
      </c>
      <c r="I15" s="20">
        <f t="shared" si="2"/>
        <v>0</v>
      </c>
      <c r="J15" s="20">
        <v>0</v>
      </c>
      <c r="K15" s="3" t="s">
        <v>262</v>
      </c>
    </row>
    <row r="16" spans="1:12" ht="19.149999999999999" customHeight="1" x14ac:dyDescent="0.35">
      <c r="A16" s="18" t="s">
        <v>279</v>
      </c>
      <c r="B16" s="8" t="s">
        <v>264</v>
      </c>
      <c r="C16" s="18" t="s">
        <v>282</v>
      </c>
      <c r="D16" s="19">
        <v>20</v>
      </c>
      <c r="E16" s="19">
        <v>0</v>
      </c>
      <c r="F16" s="19">
        <f t="shared" si="3"/>
        <v>7</v>
      </c>
      <c r="G16" s="19">
        <f t="shared" si="1"/>
        <v>27</v>
      </c>
      <c r="H16" s="20">
        <v>1</v>
      </c>
      <c r="I16" s="20">
        <f t="shared" si="2"/>
        <v>0</v>
      </c>
      <c r="J16" s="20">
        <v>0</v>
      </c>
      <c r="K16" s="3" t="s">
        <v>262</v>
      </c>
    </row>
    <row r="17" spans="1:12" ht="19.149999999999999" customHeight="1" x14ac:dyDescent="0.35">
      <c r="A17" s="18" t="s">
        <v>17</v>
      </c>
      <c r="B17" s="8" t="s">
        <v>11</v>
      </c>
      <c r="C17" s="18" t="s">
        <v>283</v>
      </c>
      <c r="D17" s="19">
        <v>4</v>
      </c>
      <c r="E17" s="19">
        <v>0</v>
      </c>
      <c r="F17" s="19">
        <f t="shared" si="3"/>
        <v>2</v>
      </c>
      <c r="G17" s="19">
        <f t="shared" si="1"/>
        <v>6</v>
      </c>
      <c r="H17" s="20">
        <v>1</v>
      </c>
      <c r="I17" s="20">
        <f t="shared" si="2"/>
        <v>0</v>
      </c>
      <c r="J17" s="20">
        <v>0</v>
      </c>
      <c r="K17" s="3" t="s">
        <v>262</v>
      </c>
    </row>
    <row r="18" spans="1:12" ht="19.149999999999999" customHeight="1" x14ac:dyDescent="0.35">
      <c r="A18" s="18" t="s">
        <v>17</v>
      </c>
      <c r="B18" s="8" t="s">
        <v>18</v>
      </c>
      <c r="C18" s="18" t="s">
        <v>284</v>
      </c>
      <c r="D18" s="19">
        <v>8</v>
      </c>
      <c r="E18" s="19">
        <v>0</v>
      </c>
      <c r="F18" s="19">
        <f t="shared" si="3"/>
        <v>3</v>
      </c>
      <c r="G18" s="19">
        <f t="shared" si="1"/>
        <v>11</v>
      </c>
      <c r="H18" s="20">
        <v>1</v>
      </c>
      <c r="I18" s="20">
        <f t="shared" si="2"/>
        <v>0</v>
      </c>
      <c r="J18" s="20">
        <v>0</v>
      </c>
      <c r="K18" s="3" t="s">
        <v>262</v>
      </c>
    </row>
    <row r="19" spans="1:12" ht="19.149999999999999" customHeight="1" x14ac:dyDescent="0.35">
      <c r="A19" s="13" t="s">
        <v>17</v>
      </c>
      <c r="B19" s="26" t="s">
        <v>264</v>
      </c>
      <c r="C19" s="13" t="s">
        <v>285</v>
      </c>
      <c r="D19" s="27">
        <v>20</v>
      </c>
      <c r="E19" s="27">
        <v>0</v>
      </c>
      <c r="F19" s="27">
        <f t="shared" si="3"/>
        <v>7</v>
      </c>
      <c r="G19" s="27">
        <f t="shared" si="1"/>
        <v>27</v>
      </c>
      <c r="H19" s="20">
        <v>1</v>
      </c>
      <c r="I19" s="20">
        <f t="shared" si="2"/>
        <v>0</v>
      </c>
      <c r="J19" s="20">
        <v>0</v>
      </c>
      <c r="K19" s="3" t="s">
        <v>262</v>
      </c>
    </row>
    <row r="20" spans="1:12" ht="62.4" customHeight="1" x14ac:dyDescent="0.35">
      <c r="A20" s="18" t="s">
        <v>10</v>
      </c>
      <c r="B20" s="7" t="s">
        <v>11</v>
      </c>
      <c r="C20" s="41" t="s">
        <v>286</v>
      </c>
      <c r="D20" s="19">
        <v>4</v>
      </c>
      <c r="E20" s="19">
        <v>0</v>
      </c>
      <c r="F20" s="27">
        <f t="shared" si="3"/>
        <v>2</v>
      </c>
      <c r="G20" s="27">
        <f t="shared" si="1"/>
        <v>6</v>
      </c>
      <c r="H20" s="20">
        <v>1</v>
      </c>
      <c r="I20" s="20">
        <f t="shared" si="2"/>
        <v>0</v>
      </c>
      <c r="J20" s="20">
        <v>0</v>
      </c>
      <c r="K20" s="3" t="s">
        <v>262</v>
      </c>
    </row>
    <row r="21" spans="1:12" ht="72.75" customHeight="1" x14ac:dyDescent="0.35">
      <c r="A21" s="18" t="s">
        <v>10</v>
      </c>
      <c r="B21" s="7" t="s">
        <v>18</v>
      </c>
      <c r="C21" s="41" t="s">
        <v>287</v>
      </c>
      <c r="D21" s="19">
        <v>8</v>
      </c>
      <c r="E21" s="19">
        <v>0</v>
      </c>
      <c r="F21" s="27">
        <f t="shared" si="3"/>
        <v>3</v>
      </c>
      <c r="G21" s="27">
        <f t="shared" si="1"/>
        <v>11</v>
      </c>
      <c r="H21" s="20">
        <v>1</v>
      </c>
      <c r="I21" s="20">
        <f t="shared" si="2"/>
        <v>0</v>
      </c>
      <c r="J21" s="20">
        <v>0</v>
      </c>
      <c r="K21" s="3" t="s">
        <v>262</v>
      </c>
    </row>
    <row r="22" spans="1:12" ht="93.65" customHeight="1" x14ac:dyDescent="0.35">
      <c r="A22" s="18" t="s">
        <v>10</v>
      </c>
      <c r="B22" s="7" t="s">
        <v>264</v>
      </c>
      <c r="C22" s="41" t="s">
        <v>288</v>
      </c>
      <c r="D22" s="2">
        <v>16</v>
      </c>
      <c r="E22" s="2">
        <v>0</v>
      </c>
      <c r="F22" s="27">
        <f t="shared" si="3"/>
        <v>6</v>
      </c>
      <c r="G22" s="27">
        <f t="shared" si="1"/>
        <v>22</v>
      </c>
      <c r="H22" s="20">
        <v>1</v>
      </c>
      <c r="I22" s="20">
        <f t="shared" si="2"/>
        <v>0</v>
      </c>
      <c r="J22" s="20">
        <v>0</v>
      </c>
      <c r="K22" s="3" t="s">
        <v>262</v>
      </c>
    </row>
    <row r="23" spans="1:12" ht="19.149999999999999" customHeight="1" x14ac:dyDescent="0.35">
      <c r="A23" s="2" t="s">
        <v>289</v>
      </c>
      <c r="B23" s="8" t="s">
        <v>11</v>
      </c>
      <c r="C23" s="10" t="s">
        <v>290</v>
      </c>
      <c r="D23" s="2">
        <v>16</v>
      </c>
      <c r="E23" s="2">
        <v>0</v>
      </c>
      <c r="F23" s="2">
        <f t="shared" si="3"/>
        <v>6</v>
      </c>
      <c r="G23" s="2">
        <f t="shared" si="1"/>
        <v>22</v>
      </c>
      <c r="H23" s="20">
        <v>1</v>
      </c>
      <c r="I23" s="20">
        <f t="shared" si="2"/>
        <v>0</v>
      </c>
      <c r="J23" s="20">
        <v>0</v>
      </c>
      <c r="K23" s="3" t="s">
        <v>262</v>
      </c>
    </row>
    <row r="24" spans="1:12" ht="19.149999999999999" customHeight="1" x14ac:dyDescent="0.35">
      <c r="A24" s="2" t="s">
        <v>289</v>
      </c>
      <c r="B24" s="8" t="s">
        <v>18</v>
      </c>
      <c r="C24" s="10" t="s">
        <v>291</v>
      </c>
      <c r="D24" s="2">
        <v>24</v>
      </c>
      <c r="E24" s="2">
        <v>0</v>
      </c>
      <c r="F24" s="2">
        <f t="shared" si="3"/>
        <v>8</v>
      </c>
      <c r="G24" s="2">
        <f t="shared" si="1"/>
        <v>32</v>
      </c>
      <c r="H24" s="20">
        <v>1</v>
      </c>
      <c r="I24" s="20">
        <f t="shared" si="2"/>
        <v>0</v>
      </c>
      <c r="J24" s="20">
        <v>0</v>
      </c>
      <c r="K24" s="3" t="s">
        <v>262</v>
      </c>
    </row>
    <row r="25" spans="1:12" ht="46" customHeight="1" x14ac:dyDescent="0.35">
      <c r="A25" s="2" t="s">
        <v>289</v>
      </c>
      <c r="B25" s="8" t="s">
        <v>264</v>
      </c>
      <c r="C25" s="10" t="s">
        <v>292</v>
      </c>
      <c r="D25" s="2">
        <v>32</v>
      </c>
      <c r="E25" s="2">
        <v>40</v>
      </c>
      <c r="F25" s="2">
        <f t="shared" si="3"/>
        <v>24</v>
      </c>
      <c r="G25" s="2">
        <f t="shared" si="1"/>
        <v>96</v>
      </c>
      <c r="H25" s="20">
        <v>1</v>
      </c>
      <c r="I25" s="20">
        <f t="shared" si="2"/>
        <v>0.41666666666666669</v>
      </c>
      <c r="J25" s="20">
        <v>0</v>
      </c>
      <c r="K25" s="3" t="s">
        <v>262</v>
      </c>
    </row>
    <row r="26" spans="1:12" ht="28" customHeight="1" x14ac:dyDescent="0.35">
      <c r="A26" s="28" t="s">
        <v>21</v>
      </c>
      <c r="B26" s="29" t="s">
        <v>11</v>
      </c>
      <c r="C26" s="30" t="s">
        <v>293</v>
      </c>
      <c r="D26" s="31">
        <v>2</v>
      </c>
      <c r="E26" s="31">
        <v>0</v>
      </c>
      <c r="F26" s="31">
        <f t="shared" si="3"/>
        <v>1</v>
      </c>
      <c r="G26" s="31">
        <f t="shared" si="1"/>
        <v>3</v>
      </c>
      <c r="H26" s="20">
        <v>1</v>
      </c>
      <c r="I26" s="20">
        <f t="shared" si="2"/>
        <v>0</v>
      </c>
      <c r="J26" s="20">
        <v>0</v>
      </c>
      <c r="K26" s="30" t="s">
        <v>294</v>
      </c>
    </row>
    <row r="27" spans="1:12" ht="28" customHeight="1" x14ac:dyDescent="0.35">
      <c r="A27" s="28" t="s">
        <v>21</v>
      </c>
      <c r="B27" s="29" t="s">
        <v>18</v>
      </c>
      <c r="C27" s="10" t="s">
        <v>295</v>
      </c>
      <c r="D27" s="31">
        <v>4</v>
      </c>
      <c r="E27" s="31">
        <v>0</v>
      </c>
      <c r="F27" s="31">
        <f t="shared" si="3"/>
        <v>2</v>
      </c>
      <c r="G27" s="31">
        <f t="shared" si="1"/>
        <v>6</v>
      </c>
      <c r="H27" s="20">
        <v>1</v>
      </c>
      <c r="I27" s="20">
        <f t="shared" si="2"/>
        <v>0</v>
      </c>
      <c r="J27" s="20">
        <v>0</v>
      </c>
      <c r="K27" s="32"/>
    </row>
    <row r="28" spans="1:12" ht="28.5" customHeight="1" x14ac:dyDescent="0.35">
      <c r="A28" s="28" t="s">
        <v>21</v>
      </c>
      <c r="B28" s="29" t="s">
        <v>264</v>
      </c>
      <c r="C28" s="30" t="s">
        <v>296</v>
      </c>
      <c r="D28" s="31">
        <v>8</v>
      </c>
      <c r="E28" s="31">
        <v>0</v>
      </c>
      <c r="F28" s="31">
        <f t="shared" si="3"/>
        <v>3</v>
      </c>
      <c r="G28" s="31">
        <f t="shared" si="1"/>
        <v>11</v>
      </c>
      <c r="H28" s="20">
        <v>1</v>
      </c>
      <c r="I28" s="20">
        <f t="shared" si="2"/>
        <v>0</v>
      </c>
      <c r="J28" s="20">
        <v>0</v>
      </c>
      <c r="K28" s="32"/>
    </row>
    <row r="29" spans="1:12" ht="30.5" customHeight="1" x14ac:dyDescent="0.35">
      <c r="A29" s="43" t="s">
        <v>297</v>
      </c>
      <c r="B29" s="29" t="s">
        <v>11</v>
      </c>
      <c r="C29" s="44"/>
      <c r="D29" s="43">
        <v>16</v>
      </c>
      <c r="E29" s="43">
        <v>0</v>
      </c>
      <c r="F29" s="43">
        <f t="shared" si="3"/>
        <v>6</v>
      </c>
      <c r="G29" s="43">
        <f t="shared" si="1"/>
        <v>22</v>
      </c>
      <c r="H29" s="19">
        <v>1</v>
      </c>
      <c r="I29" s="19">
        <f t="shared" si="2"/>
        <v>0</v>
      </c>
      <c r="J29" s="19">
        <v>0</v>
      </c>
      <c r="K29" s="38" t="s">
        <v>298</v>
      </c>
      <c r="L29" s="39"/>
    </row>
    <row r="30" spans="1:12" ht="33.5" customHeight="1" x14ac:dyDescent="0.35">
      <c r="A30" s="43" t="s">
        <v>297</v>
      </c>
      <c r="B30" s="29" t="s">
        <v>18</v>
      </c>
      <c r="C30" s="44"/>
      <c r="D30" s="43">
        <v>24</v>
      </c>
      <c r="E30" s="43">
        <v>0</v>
      </c>
      <c r="F30" s="43">
        <f t="shared" si="3"/>
        <v>8</v>
      </c>
      <c r="G30" s="43">
        <f t="shared" si="1"/>
        <v>32</v>
      </c>
      <c r="H30" s="19">
        <v>1</v>
      </c>
      <c r="I30" s="19">
        <f t="shared" si="2"/>
        <v>0</v>
      </c>
      <c r="J30" s="19">
        <v>0</v>
      </c>
      <c r="K30" s="30"/>
      <c r="L30" s="40"/>
    </row>
    <row r="31" spans="1:12" ht="32.5" customHeight="1" x14ac:dyDescent="0.35">
      <c r="A31" s="43" t="s">
        <v>297</v>
      </c>
      <c r="B31" s="29" t="s">
        <v>264</v>
      </c>
      <c r="C31" s="44"/>
      <c r="D31" s="43">
        <v>40</v>
      </c>
      <c r="E31" s="43">
        <v>40</v>
      </c>
      <c r="F31" s="43">
        <f t="shared" si="3"/>
        <v>27</v>
      </c>
      <c r="G31" s="43">
        <f t="shared" si="1"/>
        <v>107</v>
      </c>
      <c r="H31" s="19">
        <v>1</v>
      </c>
      <c r="I31" s="19">
        <f t="shared" si="2"/>
        <v>0.37383177570093457</v>
      </c>
      <c r="J31" s="19">
        <v>0</v>
      </c>
      <c r="K31" s="30"/>
      <c r="L31" s="40"/>
    </row>
    <row r="32" spans="1:12" ht="25" customHeight="1" x14ac:dyDescent="0.35">
      <c r="A32" s="43" t="s">
        <v>29</v>
      </c>
      <c r="B32" s="29" t="s">
        <v>11</v>
      </c>
      <c r="C32" s="44" t="s">
        <v>299</v>
      </c>
      <c r="D32" s="43">
        <v>16</v>
      </c>
      <c r="E32" s="43">
        <v>0</v>
      </c>
      <c r="F32" s="43">
        <f t="shared" si="3"/>
        <v>6</v>
      </c>
      <c r="G32" s="43">
        <f t="shared" si="1"/>
        <v>22</v>
      </c>
      <c r="H32" s="20">
        <v>1</v>
      </c>
      <c r="I32" s="20">
        <f t="shared" si="2"/>
        <v>0</v>
      </c>
      <c r="J32" s="20">
        <v>0</v>
      </c>
      <c r="K32" s="38" t="s">
        <v>29</v>
      </c>
      <c r="L32" s="39"/>
    </row>
    <row r="33" spans="1:12" ht="30" customHeight="1" x14ac:dyDescent="0.35">
      <c r="A33" s="43" t="s">
        <v>29</v>
      </c>
      <c r="B33" s="29" t="s">
        <v>18</v>
      </c>
      <c r="C33" s="44" t="s">
        <v>300</v>
      </c>
      <c r="D33" s="43">
        <v>24</v>
      </c>
      <c r="E33" s="43">
        <v>0</v>
      </c>
      <c r="F33" s="43">
        <f t="shared" si="3"/>
        <v>8</v>
      </c>
      <c r="G33" s="43">
        <f t="shared" si="1"/>
        <v>32</v>
      </c>
      <c r="H33" s="20">
        <v>1</v>
      </c>
      <c r="I33" s="20">
        <f t="shared" si="2"/>
        <v>0</v>
      </c>
      <c r="J33" s="20">
        <v>0</v>
      </c>
      <c r="K33" s="32"/>
      <c r="L33" s="40"/>
    </row>
    <row r="34" spans="1:12" ht="39.5" customHeight="1" x14ac:dyDescent="0.35">
      <c r="A34" s="43" t="s">
        <v>29</v>
      </c>
      <c r="B34" s="29" t="s">
        <v>264</v>
      </c>
      <c r="C34" s="44" t="s">
        <v>301</v>
      </c>
      <c r="D34" s="43">
        <v>40</v>
      </c>
      <c r="E34" s="43">
        <v>40</v>
      </c>
      <c r="F34" s="43">
        <f t="shared" si="3"/>
        <v>27</v>
      </c>
      <c r="G34" s="43">
        <f t="shared" si="1"/>
        <v>107</v>
      </c>
      <c r="H34" s="20">
        <v>1</v>
      </c>
      <c r="I34" s="20">
        <f t="shared" si="2"/>
        <v>0.37383177570093457</v>
      </c>
      <c r="J34" s="20">
        <v>0</v>
      </c>
      <c r="K34" s="32"/>
      <c r="L34" s="40"/>
    </row>
    <row r="35" spans="1:12" ht="26.5" customHeight="1" x14ac:dyDescent="0.35">
      <c r="A35" s="43" t="s">
        <v>32</v>
      </c>
      <c r="B35" s="29" t="s">
        <v>11</v>
      </c>
      <c r="C35" s="44" t="s">
        <v>299</v>
      </c>
      <c r="D35" s="43">
        <v>16</v>
      </c>
      <c r="E35" s="43">
        <v>0</v>
      </c>
      <c r="F35" s="43">
        <f t="shared" si="3"/>
        <v>6</v>
      </c>
      <c r="G35" s="43">
        <f t="shared" si="1"/>
        <v>22</v>
      </c>
      <c r="H35" s="20">
        <v>1</v>
      </c>
      <c r="I35" s="20">
        <f t="shared" si="2"/>
        <v>0</v>
      </c>
      <c r="J35" s="20">
        <v>0</v>
      </c>
      <c r="K35" s="38" t="s">
        <v>32</v>
      </c>
      <c r="L35" s="39"/>
    </row>
    <row r="36" spans="1:12" ht="31" customHeight="1" x14ac:dyDescent="0.35">
      <c r="A36" s="43" t="s">
        <v>32</v>
      </c>
      <c r="B36" s="29" t="s">
        <v>18</v>
      </c>
      <c r="C36" s="44" t="s">
        <v>300</v>
      </c>
      <c r="D36" s="43">
        <v>24</v>
      </c>
      <c r="E36" s="43">
        <v>0</v>
      </c>
      <c r="F36" s="43">
        <f t="shared" si="3"/>
        <v>8</v>
      </c>
      <c r="G36" s="43">
        <f t="shared" si="1"/>
        <v>32</v>
      </c>
      <c r="H36" s="20">
        <v>1</v>
      </c>
      <c r="I36" s="20">
        <f t="shared" si="2"/>
        <v>0</v>
      </c>
      <c r="J36" s="20">
        <v>0</v>
      </c>
      <c r="K36" s="32"/>
      <c r="L36" s="40"/>
    </row>
    <row r="37" spans="1:12" ht="34" customHeight="1" x14ac:dyDescent="0.35">
      <c r="A37" s="43" t="s">
        <v>32</v>
      </c>
      <c r="B37" s="29" t="s">
        <v>264</v>
      </c>
      <c r="C37" s="44" t="s">
        <v>301</v>
      </c>
      <c r="D37" s="43">
        <v>40</v>
      </c>
      <c r="E37" s="43">
        <v>40</v>
      </c>
      <c r="F37" s="43">
        <f t="shared" si="3"/>
        <v>27</v>
      </c>
      <c r="G37" s="43">
        <f t="shared" si="1"/>
        <v>107</v>
      </c>
      <c r="H37" s="20">
        <v>1</v>
      </c>
      <c r="I37" s="20">
        <f t="shared" si="2"/>
        <v>0.37383177570093457</v>
      </c>
      <c r="J37" s="20">
        <v>0</v>
      </c>
      <c r="K37" s="32"/>
      <c r="L37" s="40"/>
    </row>
    <row r="38" spans="1:12" ht="10.4" customHeight="1" x14ac:dyDescent="0.35">
      <c r="A38" s="43" t="s">
        <v>26</v>
      </c>
      <c r="B38" s="29" t="s">
        <v>11</v>
      </c>
      <c r="C38" s="44" t="s">
        <v>299</v>
      </c>
      <c r="D38" s="43">
        <v>16</v>
      </c>
      <c r="E38" s="43">
        <v>0</v>
      </c>
      <c r="F38" s="43">
        <f t="shared" si="3"/>
        <v>6</v>
      </c>
      <c r="G38" s="43">
        <f t="shared" si="1"/>
        <v>22</v>
      </c>
      <c r="H38" s="19">
        <v>1</v>
      </c>
      <c r="I38" s="19">
        <f t="shared" si="2"/>
        <v>0</v>
      </c>
      <c r="J38" s="19">
        <v>0</v>
      </c>
      <c r="K38" s="38" t="s">
        <v>26</v>
      </c>
      <c r="L38" s="39"/>
    </row>
    <row r="39" spans="1:12" ht="21" customHeight="1" x14ac:dyDescent="0.35">
      <c r="A39" s="43" t="s">
        <v>26</v>
      </c>
      <c r="B39" s="29" t="s">
        <v>18</v>
      </c>
      <c r="C39" s="44" t="s">
        <v>302</v>
      </c>
      <c r="D39" s="43">
        <v>24</v>
      </c>
      <c r="E39" s="43">
        <v>0</v>
      </c>
      <c r="F39" s="43">
        <f t="shared" si="3"/>
        <v>8</v>
      </c>
      <c r="G39" s="43">
        <f t="shared" si="1"/>
        <v>32</v>
      </c>
      <c r="H39" s="19">
        <v>1</v>
      </c>
      <c r="I39" s="19">
        <f t="shared" si="2"/>
        <v>0</v>
      </c>
      <c r="J39" s="19">
        <v>0</v>
      </c>
      <c r="K39" s="30"/>
      <c r="L39" s="40"/>
    </row>
    <row r="40" spans="1:12" ht="26.5" customHeight="1" x14ac:dyDescent="0.35">
      <c r="A40" s="43" t="s">
        <v>26</v>
      </c>
      <c r="B40" s="29" t="s">
        <v>264</v>
      </c>
      <c r="C40" s="44" t="s">
        <v>303</v>
      </c>
      <c r="D40" s="43">
        <v>40</v>
      </c>
      <c r="E40" s="43">
        <v>40</v>
      </c>
      <c r="F40" s="43">
        <f t="shared" si="3"/>
        <v>27</v>
      </c>
      <c r="G40" s="43">
        <f t="shared" si="1"/>
        <v>107</v>
      </c>
      <c r="H40" s="19">
        <v>1</v>
      </c>
      <c r="I40" s="19">
        <f t="shared" si="2"/>
        <v>0.37383177570093457</v>
      </c>
      <c r="J40" s="19">
        <v>0</v>
      </c>
      <c r="K40" s="30"/>
      <c r="L40" s="40"/>
    </row>
    <row r="41" spans="1:12" ht="10.4" customHeight="1" x14ac:dyDescent="0.35">
      <c r="A41" s="44"/>
      <c r="B41" s="29"/>
      <c r="C41" s="44"/>
      <c r="D41" s="43"/>
      <c r="E41" s="43"/>
      <c r="F41" s="43"/>
      <c r="G41" s="43"/>
      <c r="H41" s="19"/>
      <c r="I41" s="19"/>
      <c r="J41" s="19"/>
      <c r="K41" s="40"/>
      <c r="L41" s="39"/>
    </row>
    <row r="42" spans="1:12" ht="10.4" customHeight="1" x14ac:dyDescent="0.35">
      <c r="A42" s="44"/>
      <c r="B42" s="29"/>
      <c r="C42" s="44"/>
      <c r="D42" s="43"/>
      <c r="E42" s="43"/>
      <c r="F42" s="43"/>
      <c r="G42" s="43"/>
      <c r="H42" s="19"/>
      <c r="I42" s="19"/>
      <c r="J42" s="19"/>
      <c r="K42" s="30"/>
      <c r="L42" s="40"/>
    </row>
    <row r="43" spans="1:12" ht="10.4" customHeight="1" x14ac:dyDescent="0.35">
      <c r="A43" s="44"/>
      <c r="B43" s="29"/>
      <c r="C43" s="44"/>
      <c r="D43" s="43"/>
      <c r="E43" s="43"/>
      <c r="F43" s="43"/>
      <c r="G43" s="43"/>
      <c r="H43" s="19"/>
      <c r="I43" s="19"/>
      <c r="J43" s="19"/>
      <c r="K43" s="30"/>
      <c r="L43" s="40"/>
    </row>
    <row r="44" spans="1:12" ht="10.4" customHeight="1" x14ac:dyDescent="0.35">
      <c r="A44" s="28"/>
      <c r="B44" s="33"/>
      <c r="C44" s="34"/>
      <c r="D44" s="35"/>
      <c r="E44" s="35"/>
      <c r="F44" s="35"/>
      <c r="G44" s="35"/>
      <c r="H44" s="36"/>
      <c r="I44" s="36"/>
      <c r="J44" s="36"/>
      <c r="K44" s="37"/>
    </row>
    <row r="45" spans="1:12" x14ac:dyDescent="0.35">
      <c r="A45" s="11" t="s">
        <v>304</v>
      </c>
    </row>
    <row r="46" spans="1:12" ht="19.149999999999999" customHeight="1" x14ac:dyDescent="0.35">
      <c r="A46" s="5" t="s">
        <v>3</v>
      </c>
      <c r="B46" s="5" t="s">
        <v>4</v>
      </c>
      <c r="C46" s="6" t="s">
        <v>255</v>
      </c>
      <c r="D46" s="6" t="s">
        <v>256</v>
      </c>
      <c r="E46" s="6" t="s">
        <v>257</v>
      </c>
      <c r="F46" s="6" t="s">
        <v>258</v>
      </c>
      <c r="G46" s="6" t="s">
        <v>259</v>
      </c>
      <c r="H46" s="9"/>
      <c r="I46" s="9"/>
      <c r="J46" s="9"/>
    </row>
    <row r="47" spans="1:12" x14ac:dyDescent="0.35">
      <c r="A47" s="2" t="s">
        <v>305</v>
      </c>
      <c r="B47" s="8" t="s">
        <v>11</v>
      </c>
      <c r="C47" s="10"/>
      <c r="D47" s="2">
        <v>8</v>
      </c>
      <c r="E47" s="2">
        <v>0</v>
      </c>
      <c r="F47" s="2">
        <f t="shared" ref="F47:F52" si="4">ROUNDUP((D47+E47)/3,0)</f>
        <v>3</v>
      </c>
      <c r="G47" s="2">
        <f t="shared" ref="G47:G52" si="5">SUM(D47:F47)</f>
        <v>11</v>
      </c>
      <c r="H47" s="16">
        <f t="shared" ref="H47:H52" si="6">D47/G47</f>
        <v>0.72727272727272729</v>
      </c>
      <c r="I47" s="16">
        <f t="shared" ref="I47:I52" si="7">E47/G47</f>
        <v>0</v>
      </c>
      <c r="J47" s="16">
        <f t="shared" ref="J47:J52" si="8">F47/G47</f>
        <v>0.27272727272727271</v>
      </c>
    </row>
    <row r="48" spans="1:12" x14ac:dyDescent="0.35">
      <c r="A48" s="2" t="s">
        <v>305</v>
      </c>
      <c r="B48" s="8" t="s">
        <v>18</v>
      </c>
      <c r="C48" s="10"/>
      <c r="D48" s="2">
        <v>16</v>
      </c>
      <c r="E48" s="2">
        <v>8</v>
      </c>
      <c r="F48" s="2">
        <f t="shared" si="4"/>
        <v>8</v>
      </c>
      <c r="G48" s="2">
        <f t="shared" si="5"/>
        <v>32</v>
      </c>
      <c r="H48" s="16">
        <f t="shared" si="6"/>
        <v>0.5</v>
      </c>
      <c r="I48" s="16">
        <f t="shared" si="7"/>
        <v>0.25</v>
      </c>
      <c r="J48" s="16">
        <f t="shared" si="8"/>
        <v>0.25</v>
      </c>
    </row>
    <row r="49" spans="1:10" x14ac:dyDescent="0.35">
      <c r="A49" s="2" t="s">
        <v>305</v>
      </c>
      <c r="B49" s="8" t="s">
        <v>264</v>
      </c>
      <c r="C49" s="10"/>
      <c r="D49" s="2">
        <v>16</v>
      </c>
      <c r="E49" s="2">
        <v>16</v>
      </c>
      <c r="F49" s="2">
        <f t="shared" si="4"/>
        <v>11</v>
      </c>
      <c r="G49" s="2">
        <f t="shared" si="5"/>
        <v>43</v>
      </c>
      <c r="H49" s="16">
        <f t="shared" si="6"/>
        <v>0.37209302325581395</v>
      </c>
      <c r="I49" s="16">
        <f t="shared" si="7"/>
        <v>0.37209302325581395</v>
      </c>
      <c r="J49" s="16">
        <f t="shared" si="8"/>
        <v>0.2558139534883721</v>
      </c>
    </row>
    <row r="50" spans="1:10" x14ac:dyDescent="0.35">
      <c r="A50" s="2" t="s">
        <v>306</v>
      </c>
      <c r="B50" s="8" t="s">
        <v>11</v>
      </c>
      <c r="C50" s="10"/>
      <c r="D50" s="2">
        <v>8</v>
      </c>
      <c r="E50" s="2">
        <v>0</v>
      </c>
      <c r="F50" s="2">
        <f t="shared" si="4"/>
        <v>3</v>
      </c>
      <c r="G50" s="2">
        <f t="shared" si="5"/>
        <v>11</v>
      </c>
      <c r="H50" s="16">
        <f t="shared" si="6"/>
        <v>0.72727272727272729</v>
      </c>
      <c r="I50" s="16">
        <f t="shared" si="7"/>
        <v>0</v>
      </c>
      <c r="J50" s="16">
        <f t="shared" si="8"/>
        <v>0.27272727272727271</v>
      </c>
    </row>
    <row r="51" spans="1:10" x14ac:dyDescent="0.35">
      <c r="A51" s="2" t="s">
        <v>306</v>
      </c>
      <c r="B51" s="8" t="s">
        <v>18</v>
      </c>
      <c r="C51" s="10"/>
      <c r="D51" s="2">
        <v>16</v>
      </c>
      <c r="E51" s="2">
        <v>8</v>
      </c>
      <c r="F51" s="2">
        <f t="shared" si="4"/>
        <v>8</v>
      </c>
      <c r="G51" s="2">
        <f t="shared" si="5"/>
        <v>32</v>
      </c>
      <c r="H51" s="16">
        <f t="shared" si="6"/>
        <v>0.5</v>
      </c>
      <c r="I51" s="16">
        <f t="shared" si="7"/>
        <v>0.25</v>
      </c>
      <c r="J51" s="16">
        <f t="shared" si="8"/>
        <v>0.25</v>
      </c>
    </row>
    <row r="52" spans="1:10" x14ac:dyDescent="0.35">
      <c r="A52" s="2" t="s">
        <v>306</v>
      </c>
      <c r="B52" s="8" t="s">
        <v>264</v>
      </c>
      <c r="C52" s="10"/>
      <c r="D52" s="2">
        <v>16</v>
      </c>
      <c r="E52" s="2">
        <v>16</v>
      </c>
      <c r="F52" s="2">
        <f t="shared" si="4"/>
        <v>11</v>
      </c>
      <c r="G52" s="2">
        <f t="shared" si="5"/>
        <v>43</v>
      </c>
      <c r="H52" s="16">
        <f t="shared" si="6"/>
        <v>0.37209302325581395</v>
      </c>
      <c r="I52" s="16">
        <f t="shared" si="7"/>
        <v>0.37209302325581395</v>
      </c>
      <c r="J52" s="16">
        <f t="shared" si="8"/>
        <v>0.2558139534883721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ColWidth="8.90625" defaultRowHeight="14.5" x14ac:dyDescent="0.3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6"/>
  <sheetViews>
    <sheetView workbookViewId="0"/>
  </sheetViews>
  <sheetFormatPr defaultColWidth="8.90625" defaultRowHeight="14.5" x14ac:dyDescent="0.35"/>
  <cols>
    <col min="2" max="2" width="116.453125" customWidth="1"/>
  </cols>
  <sheetData>
    <row r="1" spans="1:4" x14ac:dyDescent="0.35">
      <c r="A1" s="15" t="s">
        <v>1</v>
      </c>
      <c r="B1" s="15" t="s">
        <v>307</v>
      </c>
    </row>
    <row r="2" spans="1:4" x14ac:dyDescent="0.35">
      <c r="A2" s="14">
        <v>1</v>
      </c>
      <c r="B2" s="14" t="s">
        <v>308</v>
      </c>
    </row>
    <row r="3" spans="1:4" x14ac:dyDescent="0.35">
      <c r="A3" s="14">
        <v>2</v>
      </c>
      <c r="B3" s="14" t="s">
        <v>309</v>
      </c>
    </row>
    <row r="4" spans="1:4" x14ac:dyDescent="0.35">
      <c r="A4" s="14">
        <v>3</v>
      </c>
      <c r="B4" s="14" t="s">
        <v>310</v>
      </c>
    </row>
    <row r="5" spans="1:4" x14ac:dyDescent="0.35">
      <c r="A5" s="14">
        <v>4</v>
      </c>
    </row>
    <row r="6" spans="1:4" x14ac:dyDescent="0.35">
      <c r="D6" t="s">
        <v>82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0" tint="-0.249977111117893"/>
  </sheetPr>
  <dimension ref="A1:F41"/>
  <sheetViews>
    <sheetView workbookViewId="0"/>
  </sheetViews>
  <sheetFormatPr defaultColWidth="8.90625" defaultRowHeight="14.5" x14ac:dyDescent="0.35"/>
  <cols>
    <col min="1" max="1" width="32.90625" customWidth="1"/>
    <col min="2" max="2" width="36.36328125" customWidth="1"/>
    <col min="3" max="3" width="18" customWidth="1"/>
    <col min="4" max="4" width="31.453125" customWidth="1"/>
    <col min="5" max="5" width="14.90625" customWidth="1"/>
    <col min="6" max="6" width="20.36328125" customWidth="1"/>
    <col min="7" max="7" width="15" customWidth="1"/>
  </cols>
  <sheetData>
    <row r="1" spans="1:6" x14ac:dyDescent="0.35">
      <c r="A1" s="1" t="s">
        <v>311</v>
      </c>
      <c r="B1" s="1" t="s">
        <v>3</v>
      </c>
      <c r="C1" s="1" t="s">
        <v>312</v>
      </c>
    </row>
    <row r="2" spans="1:6" x14ac:dyDescent="0.35">
      <c r="A2" s="4" t="s">
        <v>11</v>
      </c>
      <c r="B2" s="7" t="s">
        <v>14</v>
      </c>
      <c r="C2" s="42" t="s">
        <v>305</v>
      </c>
      <c r="E2" s="47"/>
      <c r="F2" s="47"/>
    </row>
    <row r="3" spans="1:6" x14ac:dyDescent="0.35">
      <c r="A3" s="4" t="s">
        <v>18</v>
      </c>
      <c r="B3" s="7" t="s">
        <v>266</v>
      </c>
      <c r="C3" s="42" t="s">
        <v>306</v>
      </c>
      <c r="E3" s="47"/>
      <c r="F3" s="47"/>
    </row>
    <row r="4" spans="1:6" x14ac:dyDescent="0.35">
      <c r="A4" s="4" t="s">
        <v>264</v>
      </c>
      <c r="B4" s="7" t="s">
        <v>271</v>
      </c>
      <c r="E4" s="47"/>
      <c r="F4" s="47"/>
    </row>
    <row r="5" spans="1:6" x14ac:dyDescent="0.35">
      <c r="A5" s="4" t="s">
        <v>313</v>
      </c>
      <c r="B5" s="7" t="s">
        <v>275</v>
      </c>
      <c r="E5" s="47"/>
      <c r="F5" s="47"/>
    </row>
    <row r="6" spans="1:6" x14ac:dyDescent="0.35">
      <c r="B6" s="18" t="s">
        <v>279</v>
      </c>
    </row>
    <row r="7" spans="1:6" x14ac:dyDescent="0.35">
      <c r="B7" s="18" t="s">
        <v>17</v>
      </c>
    </row>
    <row r="8" spans="1:6" x14ac:dyDescent="0.35">
      <c r="B8" s="18" t="s">
        <v>10</v>
      </c>
    </row>
    <row r="9" spans="1:6" x14ac:dyDescent="0.35">
      <c r="B9" s="18" t="s">
        <v>289</v>
      </c>
    </row>
    <row r="10" spans="1:6" ht="10.4" customHeight="1" x14ac:dyDescent="0.35">
      <c r="B10" s="28" t="s">
        <v>21</v>
      </c>
    </row>
    <row r="11" spans="1:6" x14ac:dyDescent="0.35">
      <c r="B11" s="18" t="s">
        <v>297</v>
      </c>
    </row>
    <row r="12" spans="1:6" x14ac:dyDescent="0.35">
      <c r="B12" s="2" t="s">
        <v>29</v>
      </c>
    </row>
    <row r="13" spans="1:6" x14ac:dyDescent="0.35">
      <c r="B13" s="18" t="s">
        <v>32</v>
      </c>
    </row>
    <row r="14" spans="1:6" x14ac:dyDescent="0.35">
      <c r="B14" s="18" t="s">
        <v>26</v>
      </c>
    </row>
    <row r="15" spans="1:6" x14ac:dyDescent="0.35">
      <c r="B15" s="45"/>
    </row>
    <row r="16" spans="1:6" x14ac:dyDescent="0.35">
      <c r="C16" s="46"/>
    </row>
    <row r="17" spans="2:3" x14ac:dyDescent="0.35">
      <c r="C17" s="46"/>
    </row>
    <row r="18" spans="2:3" x14ac:dyDescent="0.35">
      <c r="C18" s="46"/>
    </row>
    <row r="24" spans="2:3" x14ac:dyDescent="0.35">
      <c r="B24" s="21"/>
    </row>
    <row r="25" spans="2:3" x14ac:dyDescent="0.35">
      <c r="B25" s="21"/>
    </row>
    <row r="26" spans="2:3" x14ac:dyDescent="0.35">
      <c r="B26" s="21"/>
    </row>
    <row r="27" spans="2:3" x14ac:dyDescent="0.35">
      <c r="B27" s="21"/>
    </row>
    <row r="28" spans="2:3" x14ac:dyDescent="0.35">
      <c r="B28" s="21"/>
    </row>
    <row r="29" spans="2:3" x14ac:dyDescent="0.35">
      <c r="B29" s="21"/>
    </row>
    <row r="30" spans="2:3" x14ac:dyDescent="0.35">
      <c r="B30" s="21"/>
    </row>
    <row r="31" spans="2:3" x14ac:dyDescent="0.35">
      <c r="B31" s="21"/>
    </row>
    <row r="32" spans="2:3" x14ac:dyDescent="0.35">
      <c r="B32" s="21"/>
    </row>
    <row r="33" spans="2:2" x14ac:dyDescent="0.35">
      <c r="B33" s="21"/>
    </row>
    <row r="34" spans="2:2" x14ac:dyDescent="0.35">
      <c r="B34" s="21"/>
    </row>
    <row r="35" spans="2:2" x14ac:dyDescent="0.35">
      <c r="B35" s="21"/>
    </row>
    <row r="36" spans="2:2" x14ac:dyDescent="0.35">
      <c r="B36" s="17"/>
    </row>
    <row r="37" spans="2:2" x14ac:dyDescent="0.35">
      <c r="B37" s="17"/>
    </row>
    <row r="38" spans="2:2" x14ac:dyDescent="0.35">
      <c r="B38" s="17"/>
    </row>
    <row r="39" spans="2:2" x14ac:dyDescent="0.35">
      <c r="B39" s="17"/>
    </row>
    <row r="40" spans="2:2" x14ac:dyDescent="0.35">
      <c r="B40" s="17"/>
    </row>
    <row r="41" spans="2:2" x14ac:dyDescent="0.35">
      <c r="B41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Настройка робота</vt:lpstr>
      <vt:lpstr>Оценка Middle</vt:lpstr>
      <vt:lpstr>Оценка High</vt:lpstr>
      <vt:lpstr>Лист1</vt:lpstr>
      <vt:lpstr>Чек-лист</vt:lpstr>
      <vt:lpstr>Оценка сложности задач</vt:lpstr>
      <vt:lpstr>Лист2</vt:lpstr>
      <vt:lpstr>FAQ</vt:lpstr>
      <vt:lpstr>Справочники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Владимир Лазарев</cp:lastModifiedBy>
  <dcterms:modified xsi:type="dcterms:W3CDTF">2025-12-19T02:09:10Z</dcterms:modified>
</cp:coreProperties>
</file>