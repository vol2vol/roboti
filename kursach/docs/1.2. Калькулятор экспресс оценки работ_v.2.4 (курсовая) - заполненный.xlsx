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2adfcd024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работка робота" sheetId="1" r:id="Rf5297eeafa3e409d"/>
    <x:sheet xmlns:r="http://schemas.openxmlformats.org/officeDocument/2006/relationships" name="Лицензии" sheetId="2" r:id="R06e6ebdaccd1464f"/>
  </x:sheets>
</x:workbook>
</file>

<file path=xl/comments1.xml><?xml version="1.0" encoding="utf-8"?>
<x:comments xmlns:x="http://schemas.openxmlformats.org/spreadsheetml/2006/main">
  <x:authors>
    <x:author>Автор</x:author>
  </x:authors>
  <x:commentList>
    <x:comment ref="C6" authorId="0">
      <x:text>
        <x:r>
          <x:t>Обязательно к заполнению
Выбирается ответ, наиболее полно отражающий состояние подготовки задания для роботизации (кто проводит, состав и объем информации)</x:t>
        </x:r>
      </x:text>
    </x:comment>
    <x:comment ref="C7" authorId="0">
      <x:text>
        <x:r>
          <x:t>Обязательно к заполнению
Выбирается ответ, наиболее точно соответствующий требованиям заказчика к документации</x:t>
        </x:r>
      </x:text>
    </x:comment>
    <x:comment ref="C9" authorId="0">
      <x:text>
        <x:r>
          <x:t>НЕ обязательно к заполнению
Ответ указывается, когда в роботе предусмотрены операции с указанными приложениями</x:t>
        </x:r>
      </x:text>
    </x:comment>
    <x:comment ref="C10" authorId="0">
      <x:text>
        <x:r>
          <x:t>НЕ обязательно к заполнению
Ответ указывается, если робот будет взаимодействовать с веб-приложениями, уровень сложности зависит от количества операций в них</x:t>
        </x:r>
      </x:text>
    </x:comment>
    <x:comment ref="C11" authorId="0">
      <x:text>
        <x:r>
          <x:t>НЕ обязательно к заполнению
Ответ указывается, когда робот будет взаимодействовать с широко известными десктопными приложениями, настройка и интеграция с ними встроена в платформу ROBIN понятна</x:t>
        </x:r>
      </x:text>
    </x:comment>
    <x:comment ref="C12" authorId="0">
      <x:text>
        <x:r>
          <x:t>НЕ обязательно к заполнению
Ответ указывается, если робот будет работать с нечасто используемыми КИС, либо в закрытом контуре заказчика</x:t>
        </x:r>
      </x:text>
    </x:comment>
    <x:comment ref="C13" authorId="0">
      <x:text>
        <x:r>
          <x:t>НЕ обязательно к заполнению
Ответ указывается в случаях, когда робот будет взаимодействовать со специализированным программным обеспечением, которое разработано заказчиком самостоятельно, либо по заказу</x:t>
        </x:r>
      </x:text>
    </x:comment>
    <x:comment ref="C14" authorId="0">
      <x:text>
        <x:r>
          <x:t>НЕ обязательно к заполнению
Ответ указывается в случае необходимости взаимодействия робота с чат-ботами</x:t>
        </x:r>
      </x:text>
    </x:comment>
    <x:comment ref="C15" authorId="0">
      <x:text>
        <x:r>
          <x:t>НЕ обязательно к заполнению
Ответ указывается, если в проекте роботизации будут использованы AI-системы </x:t>
        </x:r>
      </x:text>
    </x:comment>
    <x:comment ref="C16" authorId="0">
      <x:text>
        <x:r>
          <x:t>НЕ обязательно к заполнению
Ответ на вопрос указывается, когда в сценарии роботабудет использовано распознавание текста, либо определение наличия образцов картинок в изображениях и на экране</x:t>
        </x:r>
      </x:text>
    </x:comment>
    <x:comment ref="C17" authorId="0">
      <x:text>
        <x:r>
          <x:t>НЕ обязательно к заполнению
Ответ на вопрос указывается, когда в сценарии робота будеть предусмотрено распознавание текста из сканов документов, в том числе на основе форм</x:t>
        </x:r>
      </x:text>
    </x:comment>
    <x:comment ref="C18" authorId="0">
      <x:text>
        <x:r>
          <x:t>НЕ обязательно к заполнению
Ответ выбирается, когда создаваемый робот будет получать информацию извне (из хранилищ, ввод данных оператором и т.п.)</x:t>
        </x:r>
      </x:text>
    </x:comment>
    <x:comment ref="C20" authorId="0">
      <x:text>
        <x:r>
          <x:t>НЕ обязательно к заполнению
Укажите ответ только в одном пункте раздела 3 (3.1, 3.2 или 3.3) по документированию и приемке работ, в зависимости от типа заказчика и его требований:
- какой объем документирования ожидает заказчик;
- сколько этапов сдачи работ должно быть предусмотрено;
- сколько человек со стороны заказчика вовлечены в процесс приемки.
</x:t>
        </x:r>
      </x:text>
    </x:comment>
    <x:comment ref="C21" authorId="0">
      <x:text>
        <x:r>
          <x:t>НЕ обязательно к заполнению
Укажите ответ только в одном пункте раздела 3 (3.1, 3.2 или 3.3) по документированию и приемке работ, в зависимости от типа заказчика и его требований:
- какой объем документирования ожидает заказчик;
- сколько этапов сдачи работ должно быть предусмотрено;
- сколько человек со стороны заказчика вовлечены в процесс приемки.
</x:t>
        </x:r>
      </x:text>
    </x:comment>
    <x:comment ref="C22" authorId="0">
      <x:text>
        <x:r>
          <x:t>НЕ обязательно к заполнению
Укажите ответ только в одном пункте раздела 3 (3.1, 3.2 или 3.3) по документированию и приемке работ, в зависимости от типа заказчика и его требований:
- какой объем документирования ожидает заказчик;
- сколько этапов сдачи работ должно быть предусмотрено;
- сколько человек со стороны заказчика вовлечены в процесс приемки.
</x:t>
        </x:r>
      </x:text>
    </x:comment>
    <x:comment ref="C23" authorId="0">
      <x:text>
        <x:r>
          <x:t>НЕ обязательно к заполнению
Укажите время сопровождения робота в случае требований со стороны заказчика</x:t>
        </x:r>
      </x:text>
    </x:comment>
    <x:comment ref="C33" authorId="0">
      <x:text>
        <x:r>
          <x:t>НЕ обязательно к заполнению
Ответ указывается при необходимости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2"/>
      <x:color theme="0" tint="-0.49998"/>
      <x:name val="Calibri"/>
      <x:family val="2"/>
      <x:scheme val="minor"/>
    </x:font>
    <x:font>
      <x:sz val="12"/>
      <x:color theme="0" tint="-0.49998"/>
      <x:name val="Calibri"/>
      <x:family val="2"/>
      <x:scheme val="minor"/>
    </x:font>
    <x:font>
      <x:b/>
      <x:sz val="9"/>
      <x:color indexed="81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2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87">
    <x:xf numFmtId="0" fontId="0" fillId="0" borderId="0" xfId="0"/>
    <x:xf numFmtId="0" fontId="2" fillId="0" borderId="0" xfId="0"/>
    <x:xf numFmtId="0" fontId="2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2" fillId="0" borderId="1" xfId="0"/>
    <x:xf numFmtId="0" fontId="2" fillId="0" borderId="1" xfId="0" applyAlignment="1">
      <x:alignment wrapText="1"/>
    </x:xf>
    <x:xf numFmtId="0" fontId="4" fillId="0" borderId="1" xfId="0"/>
    <x:xf numFmtId="49" fontId="4" fillId="0" borderId="1" xfId="0" applyAlignment="1">
      <x:alignment horizontal="center" wrapText="1"/>
    </x:xf>
    <x:xf numFmtId="49" fontId="2" fillId="0" borderId="1" xfId="0" applyAlignment="1">
      <x:alignment horizontal="center" wrapText="1"/>
    </x:xf>
    <x:xf numFmtId="0" fontId="3" fillId="0" borderId="0" xfId="0" applyAlignment="1">
      <x:alignment horizontal="center"/>
    </x:xf>
    <x:xf numFmtId="0" fontId="1" fillId="0" borderId="0" xfId="0" applyAlignment="1">
      <x:alignment horizontal="center"/>
    </x:xf>
    <x:xf numFmtId="0" fontId="0" fillId="0" borderId="0" xfId="0" applyAlignment="1">
      <x:alignment wrapText="1"/>
    </x:xf>
    <x:xf numFmtId="0" fontId="2" fillId="0" borderId="0" xfId="0" applyAlignment="1">
      <x:alignment wrapText="1"/>
    </x:xf>
    <x:xf numFmtId="0" fontId="4" fillId="0" borderId="0" xfId="0"/>
    <x:xf numFmtId="0" fontId="3" fillId="0" borderId="0" xfId="0"/>
    <x:xf numFmtId="0" fontId="2" fillId="0" borderId="5" xfId="0" applyAlignment="1">
      <x:alignment wrapText="1"/>
    </x:xf>
    <x:xf numFmtId="0" fontId="2" fillId="0" borderId="5" xfId="0"/>
    <x:xf numFmtId="49" fontId="4" fillId="0" borderId="6" xfId="0" applyAlignment="1">
      <x:alignment wrapText="1"/>
    </x:xf>
    <x:xf numFmtId="49" fontId="4" fillId="0" borderId="7" xfId="0"/>
    <x:xf numFmtId="49" fontId="4" fillId="0" borderId="7" xfId="0" applyAlignment="1">
      <x:alignment wrapText="1"/>
    </x:xf>
    <x:xf numFmtId="0" fontId="4" fillId="0" borderId="7" xfId="0"/>
    <x:xf numFmtId="0" fontId="4" fillId="0" borderId="8" xfId="0"/>
    <x:xf numFmtId="0" fontId="2" fillId="0" borderId="3" xfId="0"/>
    <x:xf numFmtId="0" fontId="2" fillId="0" borderId="3" xfId="0" applyAlignment="1">
      <x:alignment wrapText="1"/>
    </x:xf>
    <x:xf numFmtId="0" fontId="4" fillId="0" borderId="4" xfId="0" applyAlignment="1">
      <x:alignment wrapText="1"/>
    </x:xf>
    <x:xf numFmtId="0" fontId="4" fillId="0" borderId="9" xfId="0"/>
    <x:xf numFmtId="0" fontId="4" fillId="0" borderId="11" xfId="0"/>
    <x:xf numFmtId="0" fontId="2" fillId="0" borderId="13" xfId="0" applyAlignment="1">
      <x:alignment wrapText="1"/>
    </x:xf>
    <x:xf numFmtId="0" fontId="4" fillId="0" borderId="3" xfId="0"/>
    <x:xf numFmtId="0" fontId="4" fillId="0" borderId="4" xfId="0"/>
    <x:xf numFmtId="0" fontId="4" fillId="0" borderId="9" xfId="0" applyAlignment="1">
      <x:alignment horizontal="center"/>
    </x:xf>
    <x:xf numFmtId="0" fontId="7" fillId="0" borderId="1" xfId="0" applyAlignment="1">
      <x:alignment wrapText="1"/>
    </x:xf>
    <x:xf numFmtId="0" fontId="7" fillId="0" borderId="3" xfId="0"/>
    <x:xf numFmtId="0" fontId="2" fillId="0" borderId="16" xfId="0" applyAlignment="1">
      <x:alignment wrapText="1"/>
    </x:xf>
    <x:xf numFmtId="14" fontId="2" fillId="0" borderId="0" xfId="0"/>
    <x:xf numFmtId="0" fontId="2" fillId="0" borderId="0" xfId="0" applyAlignment="1">
      <x:alignment horizontal="right"/>
    </x:xf>
    <x:xf numFmtId="0" fontId="0" fillId="0" borderId="0" xfId="0" applyAlignment="1">
      <x:alignment horizontal="left" wrapText="1"/>
    </x:xf>
    <x:xf numFmtId="0" fontId="3" fillId="0" borderId="0" xfId="0" applyAlignment="1">
      <x:alignment horizontal="right" wrapText="1"/>
    </x:xf>
    <x:xf numFmtId="49" fontId="4" fillId="0" borderId="1" xfId="0" applyAlignment="1">
      <x:alignment horizontal="center" vertical="center" wrapText="1"/>
    </x:xf>
    <x:xf numFmtId="0" fontId="6" fillId="0" borderId="3" xfId="0" applyAlignment="1">
      <x:alignment vertical="center" wrapText="1"/>
    </x:xf>
    <x:xf numFmtId="0" fontId="2" fillId="0" borderId="3" xfId="0" applyAlignment="1">
      <x:alignment vertical="center" wrapText="1"/>
    </x:xf>
    <x:xf numFmtId="49" fontId="2" fillId="0" borderId="1" xfId="0" applyAlignment="1">
      <x:alignment horizontal="center" vertical="center" wrapText="1"/>
    </x:xf>
    <x:xf numFmtId="0" fontId="2" fillId="0" borderId="1" xfId="0" applyAlignment="1">
      <x:alignment vertical="center" wrapText="1"/>
    </x:xf>
    <x:xf numFmtId="0" fontId="7" fillId="0" borderId="1" xfId="0" applyAlignment="1">
      <x:alignment vertical="center" wrapText="1"/>
    </x:xf>
    <x:xf numFmtId="0" fontId="4" fillId="0" borderId="9" xfId="0" applyAlignment="1">
      <x:alignment horizontal="center" vertical="center"/>
    </x:xf>
    <x:xf numFmtId="0" fontId="4" fillId="0" borderId="9" xfId="0" applyAlignment="1">
      <x:alignment vertical="center"/>
    </x:xf>
    <x:xf numFmtId="0" fontId="7" fillId="0" borderId="3" xfId="0" applyAlignment="1">
      <x:alignment vertical="center"/>
    </x:xf>
    <x:xf numFmtId="0" fontId="2" fillId="0" borderId="3" xfId="0" applyAlignment="1">
      <x:alignment vertical="center"/>
    </x:xf>
    <x:xf numFmtId="0" fontId="2" fillId="0" borderId="0" xfId="0" applyAlignment="1">
      <x:alignment vertical="center"/>
    </x:xf>
    <x:xf numFmtId="0" fontId="4" fillId="0" borderId="1" xfId="0" applyAlignment="1">
      <x:alignment horizontal="center" vertical="center" wrapText="1"/>
    </x:xf>
    <x:xf numFmtId="0" fontId="4" fillId="0" borderId="1" xfId="0" applyAlignment="1">
      <x:alignment vertical="center" wrapText="1"/>
    </x:xf>
    <x:xf numFmtId="0" fontId="4" fillId="0" borderId="3" xfId="0" applyAlignment="1">
      <x:alignment vertical="center" wrapText="1"/>
    </x:xf>
    <x:xf numFmtId="49" fontId="4" fillId="0" borderId="6" xfId="0" applyAlignment="1">
      <x:alignment vertical="center" wrapText="1"/>
    </x:xf>
    <x:xf numFmtId="49" fontId="4" fillId="0" borderId="7" xfId="0" applyAlignment="1">
      <x:alignment vertical="center"/>
    </x:xf>
    <x:xf numFmtId="49" fontId="4" fillId="0" borderId="7" xfId="0" applyAlignment="1">
      <x:alignment vertical="center" wrapText="1"/>
    </x:xf>
    <x:xf numFmtId="0" fontId="4" fillId="0" borderId="7" xfId="0" applyAlignment="1">
      <x:alignment vertical="center"/>
    </x:xf>
    <x:xf numFmtId="0" fontId="4" fillId="0" borderId="8" xfId="0" applyAlignment="1">
      <x:alignment vertical="center"/>
    </x:xf>
    <x:xf numFmtId="0" fontId="2" fillId="0" borderId="5" xfId="0" applyAlignment="1">
      <x:alignment vertical="center" wrapText="1"/>
    </x:xf>
    <x:xf numFmtId="0" fontId="2" fillId="0" borderId="5" xfId="0" applyAlignment="1">
      <x:alignment vertical="center"/>
    </x:xf>
    <x:xf numFmtId="0" fontId="2" fillId="0" borderId="1" xfId="0" applyAlignment="1">
      <x:alignment vertical="center"/>
    </x:xf>
    <x:xf numFmtId="0" fontId="4" fillId="0" borderId="11" xfId="0" applyAlignment="1">
      <x:alignment horizontal="center" vertical="center" wrapText="1"/>
    </x:xf>
    <x:xf numFmtId="0" fontId="4" fillId="0" borderId="4" xfId="0" applyAlignment="1">
      <x:alignment horizontal="center" vertical="center" wrapText="1"/>
    </x:xf>
    <x:xf numFmtId="0" fontId="2" fillId="0" borderId="13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4" fillId="0" borderId="17" xfId="0" applyAlignment="1">
      <x:alignment horizontal="center" vertical="center"/>
    </x:xf>
    <x:xf numFmtId="0" fontId="2" fillId="0" borderId="11" xfId="0" applyAlignment="1">
      <x:alignment horizontal="center" vertical="center"/>
    </x:xf>
    <x:xf numFmtId="0" fontId="4" fillId="0" borderId="0" xfId="0" applyAlignment="1">
      <x:alignment wrapText="1"/>
    </x:xf>
    <x:xf numFmtId="1" fontId="2" fillId="0" borderId="13" xfId="0" applyAlignment="1">
      <x:alignment wrapText="1"/>
    </x:xf>
    <x:xf numFmtId="0" fontId="0" fillId="0" borderId="0" xfId="0" applyAlignment="1">
      <x:alignment horizontal="left" wrapText="1"/>
    </x:xf>
    <x:xf numFmtId="0" fontId="4" fillId="0" borderId="12" xfId="0" applyAlignment="1">
      <x:alignment horizontal="right" vertical="center"/>
    </x:xf>
    <x:xf numFmtId="0" fontId="4" fillId="0" borderId="14" xfId="0" applyAlignment="1">
      <x:alignment horizontal="right" vertical="center"/>
    </x:xf>
    <x:xf numFmtId="0" fontId="4" fillId="0" borderId="15" xfId="0" applyAlignment="1">
      <x:alignment horizontal="right" vertical="center"/>
    </x:xf>
    <x:xf numFmtId="0" fontId="3" fillId="0" borderId="0" xfId="0" applyAlignment="1">
      <x:alignment horizontal="center"/>
    </x:xf>
    <x:xf numFmtId="0" fontId="1" fillId="0" borderId="0" xfId="0" applyAlignment="1">
      <x:alignment horizontal="center"/>
    </x:xf>
    <x:xf numFmtId="0" fontId="4" fillId="0" borderId="2" xfId="0" applyAlignment="1">
      <x:alignment horizontal="left" vertical="center" wrapText="1"/>
    </x:xf>
    <x:xf numFmtId="0" fontId="4" fillId="0" borderId="10" xfId="0" applyAlignment="1">
      <x:alignment horizontal="left" vertical="center" wrapText="1"/>
    </x:xf>
    <x:xf numFmtId="0" fontId="4" fillId="0" borderId="2" xfId="0" applyAlignment="1">
      <x:alignment horizontal="left" wrapText="1"/>
    </x:xf>
    <x:xf numFmtId="0" fontId="4" fillId="0" borderId="10" xfId="0" applyAlignment="1">
      <x:alignment horizontal="left" wrapText="1"/>
    </x:xf>
    <x:xf numFmtId="0" fontId="4" fillId="0" borderId="12" xfId="0" applyAlignment="1">
      <x:alignment horizontal="right"/>
    </x:xf>
    <x:xf numFmtId="0" fontId="4" fillId="0" borderId="14" xfId="0" applyAlignment="1">
      <x:alignment horizontal="right"/>
    </x:xf>
    <x:xf numFmtId="0" fontId="4" fillId="0" borderId="15" xfId="0" applyAlignment="1">
      <x:alignment horizontal="right"/>
    </x:xf>
    <x:xf numFmtId="0" fontId="0" fillId="0" borderId="10" xfId="0"/>
    <x:xf numFmtId="0" fontId="4" fillId="0" borderId="4" xfId="0" applyAlignment="1">
      <x:alignment horizontal="right" vertical="center"/>
    </x:xf>
    <x:xf numFmtId="0" fontId="0" fillId="0" borderId="14" xfId="0"/>
    <x:xf numFmtId="0" fontId="0" fillId="0" borderId="15" xfId="0"/>
    <x:xf numFmtId="0" fontId="4" fillId="0" borderId="4" xfId="0" applyAlignment="1">
      <x:alignment horizontal="right"/>
    </x:xf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09501994c4c81" /><Relationship Type="http://schemas.openxmlformats.org/officeDocument/2006/relationships/theme" Target="/xl/theme/theme1.xml" Id="R85820582609f4229" /><Relationship Type="http://schemas.openxmlformats.org/officeDocument/2006/relationships/sharedStrings" Target="/xl/sharedStrings.xml" Id="R969f4ede77d54131" /><Relationship Type="http://schemas.openxmlformats.org/officeDocument/2006/relationships/worksheet" Target="/xl/worksheets/sheet1.xml" Id="Rf5297eeafa3e409d" /><Relationship Type="http://schemas.openxmlformats.org/officeDocument/2006/relationships/worksheet" Target="/xl/worksheets/sheet2.xml" Id="R06e6ebdaccd1464f" /><Relationship Type="http://schemas.microsoft.com/office/2017/10/relationships/person" Target="/xl/persons/person.xml" Id="R0c495580ea3949fb" /></Relationships>
</file>

<file path=xl/persons/person.xml><?xml version="1.0" encoding="utf-8"?>
<xltc:personList xmlns:xltc="http://schemas.microsoft.com/office/spreadsheetml/2018/threadedcomments">
  <xltc:person displayName="Автор" id="{65C86854-020A-7E04-0D5C-7100ED969355}"/>
</xltc:personList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a39596713f40cc" /><Relationship Type="http://schemas.openxmlformats.org/officeDocument/2006/relationships/vmlDrawing" Target="/xl/drawings/vmldrawing.vml" Id="R2b5f2b071c404ffd" /></Relationships>
</file>

<file path=xl/worksheets/sheet1.xml><?xml version="1.0" encoding="utf-8"?>
<x:worksheet xmlns:x="http://schemas.openxmlformats.org/spreadsheetml/2006/main">
  <x:sheetFormatPr defaultRowHeight="15"/>
  <x:cols>
    <x:col min="1" max="1" width="5.5703125" style="3" customWidth="1"/>
    <x:col min="2" max="2" width="49.42578125" customWidth="1"/>
    <x:col min="3" max="3" width="32.5703125" customWidth="1"/>
    <x:col min="4" max="4" width="24.28515625" customWidth="1"/>
    <x:col min="5" max="5" width="7.5703125" customWidth="1"/>
    <x:col min="6" max="6" width="30.7109375" customWidth="1"/>
    <x:col min="7" max="7" width="3.28515625" customWidth="1"/>
    <x:col min="8" max="9" width="3.5703125" customWidth="1"/>
    <x:col min="10" max="10" width="50.5703125" style="12" customWidth="1"/>
    <x:col min="12" max="12" width="40.7109375" style="12" customWidth="1"/>
    <x:col min="14" max="14" width="40.7109375" style="12" customWidth="1"/>
    <x:col min="16" max="16" width="40.7109375" style="12" customWidth="1"/>
    <x:col min="18" max="18" width="40.7109375" style="12" customWidth="1"/>
    <x:col min="20" max="20" width="40.7109375" style="12" customWidth="1"/>
    <x:col min="22" max="22" width="40.7109375" style="12" customWidth="1"/>
    <x:col min="24" max="24" width="40.7109375" style="12" customWidth="1"/>
    <x:col min="26" max="26" width="40.7109375" style="12" customWidth="1"/>
    <x:col min="28" max="28" width="40.7109375" style="12" customWidth="1"/>
    <x:col min="30" max="30" width="40.7109375" style="12" customWidth="1"/>
    <x:col min="32" max="32" width="40.7109375" style="12" customWidth="1"/>
    <x:col min="34" max="34" width="40.7109375" style="12" customWidth="1"/>
    <x:col min="36" max="36" width="40.7109375" style="12" customWidth="1"/>
    <x:col min="38" max="38" width="40.7109375" style="12" customWidth="1"/>
    <x:col min="40" max="40" width="40.7109375" style="12" customWidth="1"/>
    <x:col min="42" max="42" width="40.7109375" style="12" customWidth="1"/>
    <x:col min="44" max="44" width="40.7109375" style="12" customWidth="1"/>
    <x:col min="46" max="46" width="40.7109375" style="12" customWidth="1"/>
    <x:col min="48" max="48" width="40.7109375" style="12" customWidth="1"/>
    <x:col min="50" max="50" width="40.7109375" style="12" customWidth="1"/>
    <x:col min="52" max="52" width="40.7109375" style="12" customWidth="1"/>
    <x:col min="54" max="54" width="40.7109375" style="12" customWidth="1"/>
    <x:col min="56" max="56" width="40.7109375" style="12" customWidth="1"/>
    <x:col min="58" max="58" width="40.7109375" style="12" customWidth="1"/>
  </x:cols>
  <x:sheetData>
    <x:row r="1" ht="21" customHeight="1">
      <x:c r="A1" s="74" t="inlineStr">
        <x:is>
          <x:t xml:space="preserve">Экспресс оценка роботизации</x:t>
        </x:is>
      </x:c>
      <x:c r="E1" s="74" t="n"/>
    </x:row>
    <x:row r="2" ht="18.75" customHeight="1">
      <x:c r="A2" s="69" t="n"/>
      <x:c r="B2" s="38" t="inlineStr">
        <x:is>
          <x:t xml:space="preserve">Название процесса:</x:t>
        </x:is>
      </x:c>
      <x:c r="C2" s="12" t="inlineStr">
        <x:is>
          <x:t xml:space="preserve">Автосоздание задач в YouGile по входящей заявке клиента (e-mail)</x:t>
        </x:is>
      </x:c>
      <x:c r="D2" s="38" t="inlineStr">
        <x:is>
          <x:t xml:space="preserve">Заказчик:</x:t>
        </x:is>
      </x:c>
      <x:c r="E2" s="69" t="inlineStr">
        <x:is>
          <x:t xml:space="preserve">ООО «ИнфоСервис»</x:t>
        </x:is>
      </x:c>
    </x:row>
    <x:row r="3" ht="18.75" customHeight="1">
      <x:c r="A3" s="73" t="inlineStr">
        <x:is>
          <x:t xml:space="preserve">Опрос и анализ процесса клиента</x:t>
        </x:is>
      </x:c>
      <x:c r="E3" s="73" t="n"/>
      <x:c r="J3" s="15" t="inlineStr">
        <x:is>
          <x:t xml:space="preserve">Исходная схема экспресс оценки</x:t>
        </x:is>
      </x:c>
      <x:c r="K3" s="15" t="n"/>
      <x:c r="L3" s="15" t="n"/>
      <x:c r="M3" s="15" t="n"/>
      <x:c r="N3" s="15" t="n"/>
      <x:c r="O3" s="15" t="n"/>
      <x:c r="P3" s="15" t="n"/>
      <x:c r="R3" s="15" t="n"/>
      <x:c r="T3" s="15" t="n"/>
      <x:c r="V3" s="15" t="n"/>
      <x:c r="X3" s="15" t="n"/>
      <x:c r="Z3" s="15" t="n"/>
      <x:c r="AB3" s="15" t="n"/>
      <x:c r="AD3" s="15" t="n"/>
      <x:c r="AF3" s="15" t="n"/>
      <x:c r="AH3" s="15" t="n"/>
      <x:c r="AJ3" s="15" t="n"/>
      <x:c r="AL3" s="15" t="n"/>
      <x:c r="AN3" s="15" t="n"/>
      <x:c r="AP3" s="15" t="n"/>
      <x:c r="AR3" s="15" t="n"/>
      <x:c r="AT3" s="15" t="n"/>
      <x:c r="AV3" s="15" t="n"/>
      <x:c r="AX3" s="15" t="n"/>
      <x:c r="AZ3" s="15" t="n"/>
      <x:c r="BB3" s="15" t="n"/>
      <x:c r="BD3" s="15" t="n"/>
      <x:c r="BF3" s="15" t="n"/>
    </x:row>
    <x:row r="4" s="1" customFormat="1" ht="32.25" customHeight="1">
      <x:c r="A4" s="50" t="inlineStr">
        <x:is>
          <x:t xml:space="preserve">№ п/п</x:t>
        </x:is>
      </x:c>
      <x:c r="B4" s="51" t="inlineStr">
        <x:is>
          <x:t xml:space="preserve">Вопросы</x:t>
        </x:is>
      </x:c>
      <x:c r="C4" s="50" t="inlineStr">
        <x:is>
          <x:t xml:space="preserve">Ответ</x:t>
        </x:is>
      </x:c>
      <x:c r="D4" s="61" t="inlineStr">
        <x:is>
          <x:t xml:space="preserve">Расчётная сумма, т.р.</x:t>
        </x:is>
      </x:c>
      <x:c r="E4" s="51" t="inlineStr">
        <x:is>
          <x:t xml:space="preserve">Базис</x:t>
        </x:is>
      </x:c>
      <x:c r="F4" s="52" t="inlineStr">
        <x:is>
          <x:t xml:space="preserve">Справочно: диапазон оценки</x:t>
        </x:is>
      </x:c>
      <x:c r="J4" s="13" t="n"/>
      <x:c r="L4" s="13" t="n"/>
      <x:c r="N4" s="13" t="n"/>
      <x:c r="P4" s="13" t="n"/>
      <x:c r="R4" s="13" t="n"/>
      <x:c r="T4" s="13" t="n"/>
      <x:c r="V4" s="13" t="n"/>
      <x:c r="X4" s="13" t="n"/>
      <x:c r="Z4" s="13" t="n"/>
      <x:c r="AB4" s="13" t="n"/>
      <x:c r="AD4" s="13" t="n"/>
      <x:c r="AF4" s="13" t="n"/>
      <x:c r="AH4" s="13" t="n"/>
      <x:c r="AJ4" s="13" t="n"/>
      <x:c r="AL4" s="13" t="n"/>
      <x:c r="AN4" s="13" t="n"/>
      <x:c r="AP4" s="13" t="n"/>
      <x:c r="AR4" s="13" t="n"/>
      <x:c r="AT4" s="13" t="n"/>
      <x:c r="AV4" s="13" t="n"/>
      <x:c r="AX4" s="13" t="n"/>
      <x:c r="AZ4" s="13" t="n"/>
      <x:c r="BB4" s="13" t="n"/>
      <x:c r="BD4" s="13" t="n"/>
      <x:c r="BF4" s="13" t="n"/>
    </x:row>
    <x:row r="5" s="1" customFormat="1" ht="21" customHeight="1">
      <x:c r="A5" s="39" t="n">
        <x:v>1</x:v>
      </x:c>
      <x:c r="B5" s="75" t="inlineStr">
        <x:is>
          <x:t xml:space="preserve">Сбор данных и согласование разработки</x:t>
        </x:is>
      </x:c>
      <x:c r="C5" s="82" t="n"/>
      <x:c r="D5" s="62">
        <x:f>SUM(D6:D7)</x:f>
        <x:v>143.203125</x:v>
      </x:c>
      <x:c r="E5" s="40" t="n"/>
      <x:c r="F5" s="41" t="n"/>
      <x:c r="J5" s="13" t="n"/>
      <x:c r="L5" s="13" t="n"/>
      <x:c r="N5" s="13" t="n"/>
      <x:c r="P5" s="13" t="n"/>
      <x:c r="R5" s="13" t="n"/>
      <x:c r="T5" s="13" t="n"/>
      <x:c r="V5" s="13" t="n"/>
      <x:c r="X5" s="13" t="n"/>
      <x:c r="Z5" s="13" t="n"/>
      <x:c r="AB5" s="13" t="n"/>
      <x:c r="AD5" s="13" t="n"/>
      <x:c r="AF5" s="13" t="n"/>
      <x:c r="AH5" s="13" t="n"/>
      <x:c r="AJ5" s="13" t="n"/>
      <x:c r="AL5" s="13" t="n"/>
      <x:c r="AN5" s="13" t="n"/>
      <x:c r="AP5" s="13" t="n"/>
      <x:c r="AR5" s="13" t="n"/>
      <x:c r="AT5" s="13" t="n"/>
      <x:c r="AV5" s="13" t="n"/>
      <x:c r="AX5" s="13" t="n"/>
      <x:c r="AZ5" s="13" t="n"/>
      <x:c r="BB5" s="13" t="n"/>
      <x:c r="BD5" s="13" t="n"/>
      <x:c r="BF5" s="13" t="n"/>
    </x:row>
    <x:row r="6" s="1" customFormat="1" ht="47.25" customHeight="1">
      <x:c r="A6" s="42" t="inlineStr">
        <x:is>
          <x:t xml:space="preserve">1.1</x:t>
        </x:is>
      </x:c>
      <x:c r="B6" s="43" t="inlineStr">
        <x:is>
          <x:t xml:space="preserve">Насколько подробно подготовлено задание для роботизации?</x:t>
        </x:is>
      </x:c>
      <x:c r="C6" s="64" t="inlineStr">
        <x:is>
          <x:t xml:space="preserve">Есть детализированное ТЗ</x:t>
        </x:is>
      </x:c>
      <x:c r="D6" s="68">
        <x:f>INDEX(K35:K40,MATCH(C6,J35:J40,0))*E6</x:f>
        <x:v>91.40625</x:v>
      </x:c>
      <x:c r="E6" s="32">
        <x:f>75*($C$37/3200)</x:f>
        <x:v>91.40625</x:v>
      </x:c>
      <x:c r="F6" s="24" t="inlineStr">
        <x:is>
          <x:t xml:space="preserve">~75 (30-180)</x:t>
        </x:is>
      </x:c>
      <x:c r="J6" s="13" t="n"/>
      <x:c r="L6" s="13" t="n"/>
      <x:c r="N6" s="13" t="n"/>
      <x:c r="P6" s="13" t="n"/>
      <x:c r="R6" s="13" t="n"/>
      <x:c r="T6" s="13" t="n"/>
      <x:c r="V6" s="13" t="n"/>
      <x:c r="X6" s="13" t="n"/>
      <x:c r="Z6" s="13" t="n"/>
      <x:c r="AB6" s="13" t="n"/>
      <x:c r="AD6" s="13" t="n"/>
      <x:c r="AF6" s="13" t="n"/>
      <x:c r="AH6" s="13" t="n"/>
      <x:c r="AJ6" s="13" t="n"/>
      <x:c r="AL6" s="13" t="n"/>
      <x:c r="AN6" s="13" t="n"/>
      <x:c r="AP6" s="13" t="n"/>
      <x:c r="AR6" s="13" t="n"/>
      <x:c r="AT6" s="13" t="n"/>
      <x:c r="AV6" s="13" t="n"/>
      <x:c r="AX6" s="13" t="n"/>
      <x:c r="AZ6" s="13" t="n"/>
      <x:c r="BB6" s="13" t="n"/>
      <x:c r="BD6" s="13" t="n"/>
      <x:c r="BF6" s="13" t="n"/>
    </x:row>
    <x:row r="7" s="1" customFormat="1" ht="63.75" customHeight="1">
      <x:c r="A7" s="42" t="inlineStr">
        <x:is>
          <x:t xml:space="preserve">1.2</x:t>
        </x:is>
      </x:c>
      <x:c r="B7" s="43" t="inlineStr">
        <x:is>
          <x:t xml:space="preserve">Требуется ли подготовка ЧТЗ или иных документов перед началом разработки?</x:t>
        </x:is>
      </x:c>
      <x:c r="C7" s="64" t="inlineStr">
        <x:is>
          <x:t xml:space="preserve">Минимальное описание и согласование задачи перед разработкой</x:t>
        </x:is>
      </x:c>
      <x:c r="D7" s="68">
        <x:f>INDEX(M35:M39,MATCH(C7,L35:L39,0))*E7</x:f>
        <x:v>51.796875</x:v>
      </x:c>
      <x:c r="E7" s="32">
        <x:f>85*($C$37/3200)</x:f>
        <x:v>103.59375</x:v>
      </x:c>
      <x:c r="F7" s="24" t="inlineStr">
        <x:is>
          <x:t xml:space="preserve">~85 (40-180)</x:t>
        </x:is>
      </x:c>
      <x:c r="J7" s="13" t="n"/>
      <x:c r="L7" s="13" t="n"/>
      <x:c r="N7" s="13" t="n"/>
      <x:c r="P7" s="13" t="n"/>
      <x:c r="R7" s="13" t="n"/>
      <x:c r="T7" s="13" t="n"/>
      <x:c r="V7" s="13" t="n"/>
      <x:c r="X7" s="13" t="n"/>
      <x:c r="Z7" s="13" t="n"/>
      <x:c r="AB7" s="13" t="n"/>
      <x:c r="AD7" s="13" t="n"/>
      <x:c r="AF7" s="13" t="n"/>
      <x:c r="AH7" s="13" t="n"/>
      <x:c r="AJ7" s="13" t="n"/>
      <x:c r="AL7" s="13" t="n"/>
      <x:c r="AN7" s="13" t="n"/>
      <x:c r="AP7" s="13" t="n"/>
      <x:c r="AR7" s="13" t="n"/>
      <x:c r="AT7" s="13" t="n"/>
      <x:c r="AV7" s="13" t="n"/>
      <x:c r="AX7" s="13" t="n"/>
      <x:c r="AZ7" s="13" t="n"/>
      <x:c r="BB7" s="13" t="n"/>
      <x:c r="BD7" s="13" t="n"/>
      <x:c r="BF7" s="13" t="n"/>
    </x:row>
    <x:row r="8" s="1" customFormat="1" ht="48" customHeight="1">
      <x:c r="A8" s="39" t="n">
        <x:v>2</x:v>
      </x:c>
      <x:c r="B8" s="75" t="inlineStr">
        <x:is>
          <x:t xml:space="preserve">Стоимость разработки робота</x:t>
        </x:is>
      </x:c>
      <x:c r="C8" s="82" t="n"/>
      <x:c r="D8" s="62">
        <x:f>SUM(D9:D18)</x:f>
        <x:v>767.8125</x:v>
      </x:c>
      <x:c r="E8" s="40" t="n"/>
      <x:c r="F8" s="41" t="inlineStr">
        <x:is>
          <x:t xml:space="preserve">Лёгкий робот 250 (150-400), средний 450 (350-600), сложный 800 (550-1900)</x:t>
        </x:is>
      </x:c>
      <x:c r="J8" s="13" t="n"/>
      <x:c r="L8" s="13" t="n"/>
      <x:c r="N8" s="13" t="n"/>
      <x:c r="P8" s="13" t="n"/>
      <x:c r="R8" s="13" t="n"/>
      <x:c r="T8" s="13" t="n"/>
      <x:c r="V8" s="13" t="n"/>
      <x:c r="X8" s="13" t="n"/>
      <x:c r="Z8" s="13" t="n"/>
      <x:c r="AB8" s="13" t="n"/>
      <x:c r="AD8" s="13" t="n"/>
      <x:c r="AF8" s="13" t="n"/>
      <x:c r="AH8" s="13" t="n"/>
      <x:c r="AJ8" s="13" t="n"/>
      <x:c r="AL8" s="13" t="n"/>
      <x:c r="AN8" s="13" t="n"/>
      <x:c r="AP8" s="13" t="n"/>
      <x:c r="AR8" s="13" t="n"/>
      <x:c r="AT8" s="13" t="n"/>
      <x:c r="AV8" s="13" t="n"/>
      <x:c r="AX8" s="13" t="n"/>
      <x:c r="AZ8" s="13" t="n"/>
      <x:c r="BB8" s="13" t="n"/>
      <x:c r="BD8" s="13" t="n"/>
      <x:c r="BF8" s="13" t="n"/>
    </x:row>
    <x:row r="9" s="1" customFormat="1" ht="31.5" customHeight="1">
      <x:c r="A9" s="42" t="inlineStr">
        <x:is>
          <x:t xml:space="preserve">2.1</x:t>
        </x:is>
      </x:c>
      <x:c r="B9" s="43" t="inlineStr">
        <x:is>
          <x:t xml:space="preserve">Операции с браузером и офисными приложениями?</x:t>
        </x:is>
      </x:c>
      <x:c r="C9" s="64" t="inlineStr">
        <x:is>
          <x:t xml:space="preserve">Много (основные действия робота)</x:t>
        </x:is>
      </x:c>
      <x:c r="D9" s="68">
        <x:f>INDEX(O35:O39,MATCH(C9,N35:N39,0))*E9</x:f>
        <x:v>219.375</x:v>
      </x:c>
      <x:c r="E9" s="32">
        <x:f>150*($C$37/3200)</x:f>
        <x:v>182.8125</x:v>
      </x:c>
      <x:c r="F9" s="24" t="inlineStr">
        <x:is>
          <x:t xml:space="preserve">~150</x:t>
        </x:is>
      </x:c>
      <x:c r="J9" s="13" t="n"/>
      <x:c r="L9" s="13" t="n"/>
      <x:c r="N9" s="13" t="n"/>
      <x:c r="P9" s="13" t="n"/>
      <x:c r="R9" s="13" t="n"/>
      <x:c r="T9" s="13" t="n"/>
      <x:c r="V9" s="13" t="n"/>
      <x:c r="X9" s="13" t="n"/>
      <x:c r="Z9" s="13" t="n"/>
      <x:c r="AB9" s="13" t="n"/>
      <x:c r="AD9" s="13" t="n"/>
      <x:c r="AF9" s="13" t="n"/>
      <x:c r="AH9" s="13" t="n"/>
      <x:c r="AJ9" s="13" t="n"/>
      <x:c r="AL9" s="13" t="n"/>
      <x:c r="AN9" s="13" t="n"/>
      <x:c r="AP9" s="13" t="n"/>
      <x:c r="AR9" s="13" t="n"/>
      <x:c r="AT9" s="13" t="n"/>
      <x:c r="AV9" s="13" t="n"/>
      <x:c r="AX9" s="13" t="n"/>
      <x:c r="AZ9" s="13" t="n"/>
      <x:c r="BB9" s="13" t="n"/>
      <x:c r="BD9" s="13" t="n"/>
      <x:c r="BF9" s="13" t="n"/>
    </x:row>
    <x:row r="10" s="1" customFormat="1" ht="47.25" customHeight="1">
      <x:c r="A10" s="42" t="inlineStr">
        <x:is>
          <x:t xml:space="preserve">2.2</x:t>
        </x:is>
      </x:c>
      <x:c r="B10" s="43" t="inlineStr">
        <x:is>
          <x:t xml:space="preserve">Используются популярные веб-сервисы, для которых можно получить демо-доступ на этапе разработки (моё дело, битрикс, 1с-web и др.)? </x:t>
        </x:is>
      </x:c>
      <x:c r="C10" s="64" t="inlineStr">
        <x:is>
          <x:t xml:space="preserve">Присутствуют</x:t>
        </x:is>
      </x:c>
      <x:c r="D10" s="68">
        <x:f>INDEX(Q35:Q39,MATCH(C10,P35:P39,0))*E10</x:f>
        <x:v>182.8125</x:v>
      </x:c>
      <x:c r="E10" s="32">
        <x:f>150*($C$37/3200)</x:f>
        <x:v>182.8125</x:v>
      </x:c>
      <x:c r="F10" s="24" t="inlineStr">
        <x:is>
          <x:t xml:space="preserve">~150</x:t>
        </x:is>
      </x:c>
      <x:c r="J10" s="13" t="n"/>
      <x:c r="L10" s="13" t="n"/>
      <x:c r="N10" s="13" t="n"/>
      <x:c r="P10" s="13" t="n"/>
      <x:c r="R10" s="13" t="n"/>
      <x:c r="T10" s="13" t="n"/>
      <x:c r="V10" s="13" t="n"/>
      <x:c r="X10" s="13" t="n"/>
      <x:c r="Z10" s="13" t="n"/>
      <x:c r="AB10" s="13" t="n"/>
      <x:c r="AD10" s="13" t="n"/>
      <x:c r="AF10" s="13" t="n"/>
      <x:c r="AH10" s="13" t="n"/>
      <x:c r="AJ10" s="13" t="n"/>
      <x:c r="AL10" s="13" t="n"/>
      <x:c r="AN10" s="13" t="n"/>
      <x:c r="AP10" s="13" t="n"/>
      <x:c r="AR10" s="13" t="n"/>
      <x:c r="AT10" s="13" t="n"/>
      <x:c r="AV10" s="13" t="n"/>
      <x:c r="AX10" s="13" t="n"/>
      <x:c r="AZ10" s="13" t="n"/>
      <x:c r="BB10" s="13" t="n"/>
      <x:c r="BD10" s="13" t="n"/>
      <x:c r="BF10" s="13" t="n"/>
    </x:row>
    <x:row r="11" s="1" customFormat="1" ht="31.5" customHeight="1">
      <x:c r="A11" s="42" t="inlineStr">
        <x:is>
          <x:t xml:space="preserve">2.3</x:t>
        </x:is>
      </x:c>
      <x:c r="B11" s="43" t="inlineStr">
        <x:is>
          <x:t xml:space="preserve">Используются популярные десктоп приложения и массовые системы (1С, SAP и т.п.)?</x:t>
        </x:is>
      </x:c>
      <x:c r="C11" s="64" t="inlineStr">
        <x:is>
          <x:t xml:space="preserve">Нет</x:t>
        </x:is>
      </x:c>
      <x:c r="D11" s="68">
        <x:f>INDEX(S35:S39,MATCH(C11,R35:R39,0))*E11</x:f>
        <x:v>0</x:v>
      </x:c>
      <x:c r="E11" s="32">
        <x:f>200*($C$37/3200)</x:f>
        <x:v>243.75</x:v>
      </x:c>
      <x:c r="F11" s="24" t="inlineStr">
        <x:is>
          <x:t xml:space="preserve">~200</x:t>
        </x:is>
      </x:c>
      <x:c r="J11" s="13" t="n"/>
      <x:c r="L11" s="13" t="n"/>
      <x:c r="N11" s="13" t="n"/>
      <x:c r="P11" s="13" t="n"/>
      <x:c r="R11" s="13" t="n"/>
      <x:c r="T11" s="13" t="n"/>
      <x:c r="V11" s="13" t="n"/>
      <x:c r="X11" s="13" t="n"/>
      <x:c r="Z11" s="13" t="n"/>
      <x:c r="AB11" s="13" t="n"/>
      <x:c r="AD11" s="13" t="n"/>
      <x:c r="AF11" s="13" t="n"/>
      <x:c r="AH11" s="13" t="n"/>
      <x:c r="AJ11" s="13" t="n"/>
      <x:c r="AL11" s="13" t="n"/>
      <x:c r="AN11" s="13" t="n"/>
      <x:c r="AP11" s="13" t="n"/>
      <x:c r="AR11" s="13" t="n"/>
      <x:c r="AT11" s="13" t="n"/>
      <x:c r="AV11" s="13" t="n"/>
      <x:c r="AX11" s="13" t="n"/>
      <x:c r="AZ11" s="13" t="n"/>
      <x:c r="BB11" s="13" t="n"/>
      <x:c r="BD11" s="13" t="n"/>
      <x:c r="BF11" s="13" t="n"/>
    </x:row>
    <x:row r="12" s="1" customFormat="1" ht="47.25" customHeight="1">
      <x:c r="A12" s="42" t="inlineStr">
        <x:is>
          <x:t xml:space="preserve">2.4</x:t>
        </x:is>
      </x:c>
      <x:c r="B12" s="43" t="inlineStr">
        <x:is>
          <x:t xml:space="preserve">Используются относительно редкие корпоративные системы и работа в закрытом контуре?</x:t>
        </x:is>
      </x:c>
      <x:c r="C12" s="64" t="inlineStr">
        <x:is>
          <x:t xml:space="preserve">Присутствуют</x:t>
        </x:is>
      </x:c>
      <x:c r="D12" s="68">
        <x:f>INDEX(U35:U39,MATCH(C12,T35:T39,0))*E12</x:f>
        <x:v>365.625</x:v>
      </x:c>
      <x:c r="E12" s="32">
        <x:f>300*($C$37/3200)</x:f>
        <x:v>365.625</x:v>
      </x:c>
      <x:c r="F12" s="24" t="inlineStr">
        <x:is>
          <x:t xml:space="preserve">~300</x:t>
        </x:is>
      </x:c>
      <x:c r="J12" s="13" t="n"/>
      <x:c r="L12" s="13" t="n"/>
      <x:c r="N12" s="13" t="n"/>
      <x:c r="P12" s="13" t="n"/>
      <x:c r="R12" s="13" t="n"/>
      <x:c r="T12" s="13" t="n"/>
      <x:c r="V12" s="13" t="n"/>
      <x:c r="X12" s="13" t="n"/>
      <x:c r="Z12" s="13" t="n"/>
      <x:c r="AB12" s="13" t="n"/>
      <x:c r="AD12" s="13" t="n"/>
      <x:c r="AF12" s="13" t="n"/>
      <x:c r="AH12" s="13" t="n"/>
      <x:c r="AJ12" s="13" t="n"/>
      <x:c r="AL12" s="13" t="n"/>
      <x:c r="AN12" s="13" t="n"/>
      <x:c r="AP12" s="13" t="n"/>
      <x:c r="AR12" s="13" t="n"/>
      <x:c r="AT12" s="13" t="n"/>
      <x:c r="AV12" s="13" t="n"/>
      <x:c r="AX12" s="13" t="n"/>
      <x:c r="AZ12" s="13" t="n"/>
      <x:c r="BB12" s="13" t="n"/>
      <x:c r="BD12" s="13" t="n"/>
      <x:c r="BF12" s="13" t="n"/>
    </x:row>
    <x:row r="13" s="1" customFormat="1" ht="31.5" customHeight="1">
      <x:c r="A13" s="42" t="inlineStr">
        <x:is>
          <x:t xml:space="preserve">2.5</x:t>
        </x:is>
      </x:c>
      <x:c r="B13" s="43" t="inlineStr">
        <x:is>
          <x:t xml:space="preserve">Используется кастомный софт, разработанный внутри организации?</x:t>
        </x:is>
      </x:c>
      <x:c r="C13" s="64" t="inlineStr">
        <x:is>
          <x:t xml:space="preserve">Нет</x:t>
        </x:is>
      </x:c>
      <x:c r="D13" s="68">
        <x:f>INDEX(W35:W39,MATCH(C13,V35:V39,0))*E13</x:f>
        <x:v>0</x:v>
      </x:c>
      <x:c r="E13" s="32">
        <x:f>500*($C$37/3200)</x:f>
        <x:v>609.375</x:v>
      </x:c>
      <x:c r="F13" s="24" t="inlineStr">
        <x:is>
          <x:t xml:space="preserve">~500</x:t>
        </x:is>
      </x:c>
      <x:c r="J13" s="13" t="n"/>
      <x:c r="L13" s="13" t="n"/>
      <x:c r="N13" s="13" t="n"/>
      <x:c r="P13" s="13" t="n"/>
      <x:c r="R13" s="13" t="n"/>
      <x:c r="T13" s="13" t="n"/>
      <x:c r="V13" s="13" t="n"/>
      <x:c r="X13" s="13" t="n"/>
      <x:c r="Z13" s="13" t="n"/>
      <x:c r="AB13" s="13" t="n"/>
      <x:c r="AD13" s="13" t="n"/>
      <x:c r="AF13" s="13" t="n"/>
      <x:c r="AH13" s="13" t="n"/>
      <x:c r="AJ13" s="13" t="n"/>
      <x:c r="AL13" s="13" t="n"/>
      <x:c r="AN13" s="13" t="n"/>
      <x:c r="AP13" s="13" t="n"/>
      <x:c r="AR13" s="13" t="n"/>
      <x:c r="AT13" s="13" t="n"/>
      <x:c r="AV13" s="13" t="n"/>
      <x:c r="AX13" s="13" t="n"/>
      <x:c r="AZ13" s="13" t="n"/>
      <x:c r="BB13" s="13" t="n"/>
      <x:c r="BD13" s="13" t="n"/>
      <x:c r="BF13" s="13" t="n"/>
    </x:row>
    <x:row r="14" s="1" customFormat="1" ht="15.75" customHeight="1">
      <x:c r="A14" s="42" t="inlineStr">
        <x:is>
          <x:t xml:space="preserve">2.6</x:t>
        </x:is>
      </x:c>
      <x:c r="B14" s="43" t="inlineStr">
        <x:is>
          <x:t xml:space="preserve">Используются ли чат-боты?</x:t>
        </x:is>
      </x:c>
      <x:c r="C14" s="64" t="inlineStr">
        <x:is>
          <x:t xml:space="preserve">Нет</x:t>
        </x:is>
      </x:c>
      <x:c r="D14" s="68">
        <x:f>INDEX(Y35:Y38,MATCH(C14,X35:X38,0))*E14</x:f>
        <x:v>0</x:v>
      </x:c>
      <x:c r="E14" s="32">
        <x:f>500*($C$37/3200)</x:f>
        <x:v>609.375</x:v>
      </x:c>
      <x:c r="F14" s="24" t="inlineStr">
        <x:is>
          <x:t xml:space="preserve">~500</x:t>
        </x:is>
      </x:c>
      <x:c r="J14" s="13" t="n"/>
      <x:c r="L14" s="13" t="n"/>
      <x:c r="N14" s="13" t="n"/>
      <x:c r="P14" s="13" t="n"/>
      <x:c r="R14" s="13" t="n"/>
      <x:c r="T14" s="13" t="n"/>
      <x:c r="V14" s="13" t="n"/>
      <x:c r="X14" s="13" t="n"/>
      <x:c r="Z14" s="13" t="n"/>
      <x:c r="AB14" s="13" t="n"/>
      <x:c r="AD14" s="13" t="n"/>
      <x:c r="AF14" s="13" t="n"/>
      <x:c r="AH14" s="13" t="n"/>
      <x:c r="AJ14" s="13" t="n"/>
      <x:c r="AL14" s="13" t="n"/>
      <x:c r="AN14" s="13" t="n"/>
      <x:c r="AP14" s="13" t="n"/>
      <x:c r="AR14" s="13" t="n"/>
      <x:c r="AT14" s="13" t="n"/>
      <x:c r="AV14" s="13" t="n"/>
      <x:c r="AX14" s="13" t="n"/>
      <x:c r="AZ14" s="13" t="n"/>
      <x:c r="BB14" s="13" t="n"/>
      <x:c r="BD14" s="13" t="n"/>
      <x:c r="BF14" s="13" t="n"/>
    </x:row>
    <x:row r="15" s="1" customFormat="1" ht="15.75" customHeight="1">
      <x:c r="A15" s="42" t="inlineStr">
        <x:is>
          <x:t xml:space="preserve">2.7</x:t>
        </x:is>
      </x:c>
      <x:c r="B15" s="43" t="inlineStr">
        <x:is>
          <x:t xml:space="preserve">Используются ли AI-системы?</x:t>
        </x:is>
      </x:c>
      <x:c r="C15" s="64" t="inlineStr">
        <x:is>
          <x:t xml:space="preserve">Нет</x:t>
        </x:is>
      </x:c>
      <x:c r="D15" s="68">
        <x:f>INDEX(AA35:AA38,MATCH(C15,Z35:Z38,0))*E15</x:f>
        <x:v>0</x:v>
      </x:c>
      <x:c r="E15" s="32">
        <x:f>600*($C$37/3200)</x:f>
        <x:v>731.25</x:v>
      </x:c>
      <x:c r="F15" s="24" t="inlineStr">
        <x:is>
          <x:t xml:space="preserve">~600</x:t>
        </x:is>
      </x:c>
      <x:c r="J15" s="13" t="n"/>
      <x:c r="L15" s="13" t="n"/>
      <x:c r="N15" s="13" t="n"/>
      <x:c r="P15" s="13" t="n"/>
      <x:c r="R15" s="13" t="n"/>
      <x:c r="T15" s="13" t="n"/>
      <x:c r="V15" s="13" t="n"/>
      <x:c r="X15" s="13" t="n"/>
      <x:c r="Z15" s="13" t="n"/>
      <x:c r="AB15" s="13" t="n"/>
      <x:c r="AD15" s="13" t="n"/>
      <x:c r="AF15" s="13" t="n"/>
      <x:c r="AH15" s="13" t="n"/>
      <x:c r="AJ15" s="13" t="n"/>
      <x:c r="AL15" s="13" t="n"/>
      <x:c r="AN15" s="13" t="n"/>
      <x:c r="AP15" s="13" t="n"/>
      <x:c r="AR15" s="13" t="n"/>
      <x:c r="AT15" s="13" t="n"/>
      <x:c r="AV15" s="13" t="n"/>
      <x:c r="AX15" s="13" t="n"/>
      <x:c r="AZ15" s="13" t="n"/>
      <x:c r="BB15" s="13" t="n"/>
      <x:c r="BD15" s="13" t="n"/>
      <x:c r="BF15" s="13" t="n"/>
    </x:row>
    <x:row r="16" s="1" customFormat="1" ht="47.25" customHeight="1">
      <x:c r="A16" s="42" t="inlineStr">
        <x:is>
          <x:t xml:space="preserve">2.8</x:t>
        </x:is>
      </x:c>
      <x:c r="B16" s="43" t="inlineStr">
        <x:is>
          <x:t xml:space="preserve">Требуется ли распознавание фрагментов текста или элементов изображения (узнавание искомого параметра)?</x:t>
        </x:is>
      </x:c>
      <x:c r="C16" s="64" t="inlineStr">
        <x:is>
          <x:t xml:space="preserve">Нет</x:t>
        </x:is>
      </x:c>
      <x:c r="D16" s="68">
        <x:f>INDEX(AC35:AC38,MATCH(C16,AB35:AB38,0))*E16</x:f>
        <x:v>0</x:v>
      </x:c>
      <x:c r="E16" s="32">
        <x:f>350*($C$37/3200)</x:f>
        <x:v>426.5625</x:v>
      </x:c>
      <x:c r="F16" s="24" t="inlineStr">
        <x:is>
          <x:t xml:space="preserve">~350</x:t>
        </x:is>
      </x:c>
      <x:c r="J16" s="13" t="n"/>
      <x:c r="L16" s="13" t="n"/>
      <x:c r="N16" s="13" t="n"/>
      <x:c r="P16" s="13" t="n"/>
      <x:c r="R16" s="13" t="n"/>
      <x:c r="T16" s="13" t="n"/>
      <x:c r="V16" s="13" t="n"/>
      <x:c r="X16" s="13" t="n"/>
      <x:c r="Z16" s="13" t="n"/>
      <x:c r="AB16" s="13" t="n"/>
      <x:c r="AD16" s="13" t="n"/>
      <x:c r="AF16" s="13" t="n"/>
      <x:c r="AH16" s="13" t="n"/>
      <x:c r="AJ16" s="13" t="n"/>
      <x:c r="AL16" s="13" t="n"/>
      <x:c r="AN16" s="13" t="n"/>
      <x:c r="AP16" s="13" t="n"/>
      <x:c r="AR16" s="13" t="n"/>
      <x:c r="AT16" s="13" t="n"/>
      <x:c r="AV16" s="13" t="n"/>
      <x:c r="AX16" s="13" t="n"/>
      <x:c r="AZ16" s="13" t="n"/>
      <x:c r="BB16" s="13" t="n"/>
      <x:c r="BD16" s="13" t="n"/>
      <x:c r="BF16" s="13" t="n"/>
    </x:row>
    <x:row r="17" s="1" customFormat="1" ht="31.5" customHeight="1">
      <x:c r="A17" s="42" t="inlineStr">
        <x:is>
          <x:t xml:space="preserve">2.9</x:t>
        </x:is>
      </x:c>
      <x:c r="B17" s="43" t="inlineStr">
        <x:is>
          <x:t xml:space="preserve">Требуется ли точное распознавание документов (получение данных из документа)?</x:t>
        </x:is>
      </x:c>
      <x:c r="C17" s="64" t="inlineStr">
        <x:is>
          <x:t xml:space="preserve">Нет</x:t>
        </x:is>
      </x:c>
      <x:c r="D17" s="68">
        <x:f>INDEX(AE35:AE38,MATCH(C17,AD35:AD38,0))*E17</x:f>
        <x:v>0</x:v>
      </x:c>
      <x:c r="E17" s="32">
        <x:f>600*($C$37/3200)</x:f>
        <x:v>731.25</x:v>
      </x:c>
      <x:c r="F17" s="24" t="inlineStr">
        <x:is>
          <x:t xml:space="preserve">~600</x:t>
        </x:is>
      </x:c>
      <x:c r="J17" s="13" t="n"/>
      <x:c r="L17" s="13" t="n"/>
      <x:c r="N17" s="13" t="n"/>
      <x:c r="P17" s="13" t="n"/>
      <x:c r="R17" s="13" t="n"/>
      <x:c r="T17" s="13" t="n"/>
      <x:c r="V17" s="13" t="n"/>
      <x:c r="X17" s="13" t="n"/>
      <x:c r="Z17" s="13" t="n"/>
      <x:c r="AB17" s="13" t="n"/>
      <x:c r="AD17" s="13" t="n"/>
      <x:c r="AF17" s="13" t="n"/>
      <x:c r="AH17" s="13" t="n"/>
      <x:c r="AJ17" s="13" t="n"/>
      <x:c r="AL17" s="13" t="n"/>
      <x:c r="AN17" s="13" t="n"/>
      <x:c r="AP17" s="13" t="n"/>
      <x:c r="AR17" s="13" t="n"/>
      <x:c r="AT17" s="13" t="n"/>
      <x:c r="AV17" s="13" t="n"/>
      <x:c r="AX17" s="13" t="n"/>
      <x:c r="AZ17" s="13" t="n"/>
      <x:c r="BB17" s="13" t="n"/>
      <x:c r="BD17" s="13" t="n"/>
      <x:c r="BF17" s="13" t="n"/>
    </x:row>
    <x:row r="18" s="1" customFormat="1" ht="63.75" customHeight="1">
      <x:c r="A18" s="42" t="inlineStr">
        <x:is>
          <x:t xml:space="preserve">2.10</x:t>
        </x:is>
      </x:c>
      <x:c r="B18" s="43" t="inlineStr">
        <x:is>
          <x:t xml:space="preserve">Необходимо взаимодействие робота с оператором или оркестратором для получения дополнительных данных во время выполнения робота?</x:t>
        </x:is>
      </x:c>
      <x:c r="C18" s="64" t="inlineStr">
        <x:is>
          <x:t xml:space="preserve">Нет</x:t>
        </x:is>
      </x:c>
      <x:c r="D18" s="68">
        <x:f>INDEX(AG35:AG37,MATCH(C18,AF35:AF37,0))*E18</x:f>
        <x:v>0</x:v>
      </x:c>
      <x:c r="E18" s="32">
        <x:f>600*($C$37/3200)</x:f>
        <x:v>731.25</x:v>
      </x:c>
      <x:c r="F18" s="24" t="inlineStr">
        <x:is>
          <x:t xml:space="preserve">~600</x:t>
        </x:is>
      </x:c>
      <x:c r="J18" s="13" t="n"/>
      <x:c r="L18" s="13" t="n"/>
      <x:c r="N18" s="13" t="n"/>
      <x:c r="P18" s="13" t="n"/>
      <x:c r="R18" s="13" t="n"/>
      <x:c r="T18" s="13" t="n"/>
      <x:c r="V18" s="13" t="n"/>
      <x:c r="X18" s="13" t="n"/>
      <x:c r="Z18" s="13" t="n"/>
      <x:c r="AB18" s="13" t="n"/>
      <x:c r="AD18" s="13" t="n"/>
      <x:c r="AF18" s="13" t="n"/>
      <x:c r="AH18" s="13" t="n"/>
      <x:c r="AJ18" s="13" t="n"/>
      <x:c r="AL18" s="13" t="n"/>
      <x:c r="AN18" s="13" t="n"/>
      <x:c r="AP18" s="13" t="n"/>
      <x:c r="AR18" s="13" t="n"/>
      <x:c r="AT18" s="13" t="n"/>
      <x:c r="AV18" s="13" t="n"/>
      <x:c r="AX18" s="13" t="n"/>
      <x:c r="AZ18" s="13" t="n"/>
      <x:c r="BB18" s="13" t="n"/>
      <x:c r="BD18" s="13" t="n"/>
      <x:c r="BF18" s="13" t="n"/>
    </x:row>
    <x:row r="19" s="1" customFormat="1" ht="16.5" customHeight="1">
      <x:c r="A19" s="39" t="n">
        <x:v>3</x:v>
      </x:c>
      <x:c r="B19" s="75" t="inlineStr">
        <x:is>
          <x:t xml:space="preserve">Документация и процедуры приёмки</x:t>
        </x:is>
      </x:c>
      <x:c r="C19" s="82" t="n"/>
      <x:c r="D19" s="62">
        <x:f>SUM(D20:D23)</x:f>
        <x:v>213.28125</x:v>
      </x:c>
      <x:c r="E19" s="40" t="n"/>
      <x:c r="F19" s="41" t="n"/>
      <x:c r="J19" s="13" t="n"/>
      <x:c r="L19" s="13" t="n"/>
      <x:c r="N19" s="13" t="n"/>
      <x:c r="P19" s="13" t="n"/>
      <x:c r="R19" s="13" t="n"/>
      <x:c r="T19" s="13" t="n"/>
      <x:c r="V19" s="13" t="n"/>
      <x:c r="X19" s="13" t="n"/>
      <x:c r="Z19" s="13" t="n"/>
      <x:c r="AB19" s="13" t="n"/>
      <x:c r="AD19" s="13" t="n"/>
      <x:c r="AF19" s="13" t="n"/>
      <x:c r="AH19" s="13" t="n"/>
      <x:c r="AJ19" s="13" t="n"/>
      <x:c r="AL19" s="13" t="n"/>
      <x:c r="AN19" s="13" t="n"/>
      <x:c r="AP19" s="13" t="n"/>
      <x:c r="AR19" s="13" t="n"/>
      <x:c r="AT19" s="13" t="n"/>
      <x:c r="AV19" s="13" t="n"/>
      <x:c r="AX19" s="13" t="n"/>
      <x:c r="AZ19" s="13" t="n"/>
      <x:c r="BB19" s="13" t="n"/>
      <x:c r="BD19" s="13" t="n"/>
      <x:c r="BF19" s="13" t="n"/>
    </x:row>
    <x:row r="20" s="1" customFormat="1" ht="47.25" customHeight="1">
      <x:c r="A20" s="42" t="inlineStr">
        <x:is>
          <x:t xml:space="preserve">3.1</x:t>
        </x:is>
      </x:c>
      <x:c r="B20" s="43" t="inlineStr">
        <x:is>
          <x:t xml:space="preserve">Достаточно стандартной универсальной инструкции по роботу и показать робота принимающему лицу?</x:t>
        </x:is>
      </x:c>
      <x:c r="C20" s="64" t="inlineStr">
        <x:is>
          <x:t xml:space="preserve">Да</x:t>
        </x:is>
      </x:c>
      <x:c r="D20" s="68">
        <x:f>INDEX(AI35:AI37,MATCH(C20,AH35:AH37,0))*E20</x:f>
        <x:v>91.40625</x:v>
      </x:c>
      <x:c r="E20" s="32">
        <x:f>75*($C$37/3200)</x:f>
        <x:v>91.40625</x:v>
      </x:c>
      <x:c r="F20" s="24" t="inlineStr">
        <x:is>
          <x:t xml:space="preserve">~75 </x:t>
        </x:is>
      </x:c>
      <x:c r="J20" s="13" t="n"/>
      <x:c r="L20" s="13" t="n"/>
      <x:c r="N20" s="13" t="n"/>
      <x:c r="P20" s="13" t="n"/>
      <x:c r="R20" s="13" t="n"/>
      <x:c r="T20" s="13" t="n"/>
      <x:c r="V20" s="13" t="n"/>
      <x:c r="X20" s="13" t="n"/>
      <x:c r="Z20" s="13" t="n"/>
      <x:c r="AB20" s="13" t="n"/>
      <x:c r="AD20" s="13" t="n"/>
      <x:c r="AF20" s="13" t="n"/>
      <x:c r="AH20" s="13" t="n"/>
      <x:c r="AJ20" s="13" t="n"/>
      <x:c r="AL20" s="13" t="n"/>
      <x:c r="AN20" s="13" t="n"/>
      <x:c r="AP20" s="13" t="n"/>
      <x:c r="AR20" s="13" t="n"/>
      <x:c r="AT20" s="13" t="n"/>
      <x:c r="AV20" s="13" t="n"/>
      <x:c r="AX20" s="13" t="n"/>
      <x:c r="AZ20" s="13" t="n"/>
      <x:c r="BB20" s="13" t="n"/>
      <x:c r="BD20" s="13" t="n"/>
      <x:c r="BF20" s="13" t="n"/>
    </x:row>
    <x:row r="21" s="1" customFormat="1" ht="47.25" customHeight="1">
      <x:c r="A21" s="42" t="inlineStr">
        <x:is>
          <x:t xml:space="preserve">3.2</x:t>
        </x:is>
      </x:c>
      <x:c r="B21" s="43" t="inlineStr">
        <x:is>
          <x:t xml:space="preserve">Требуется пакет документации в стандарте заказчика с подробным описанием робота и передача робота ответственному лицу?</x:t>
        </x:is>
      </x:c>
      <x:c r="C21" s="64" t="inlineStr">
        <x:is>
          <x:t xml:space="preserve">Нет требований к документации и приёмке</x:t>
        </x:is>
      </x:c>
      <x:c r="D21" s="68">
        <x:f>INDEX(AK35:AK37,MATCH(C21,AJ35:AJ37,0))*E21</x:f>
        <x:v>0</x:v>
      </x:c>
      <x:c r="E21" s="32">
        <x:f>250*($C$37/3200)</x:f>
        <x:v>304.6875</x:v>
      </x:c>
      <x:c r="F21" s="24" t="inlineStr">
        <x:is>
          <x:t xml:space="preserve">~250</x:t>
        </x:is>
      </x:c>
      <x:c r="J21" s="13" t="n"/>
      <x:c r="L21" s="13" t="n"/>
      <x:c r="N21" s="13" t="n"/>
      <x:c r="P21" s="13" t="n"/>
      <x:c r="R21" s="13" t="n"/>
      <x:c r="T21" s="13" t="n"/>
      <x:c r="V21" s="13" t="n"/>
      <x:c r="X21" s="13" t="n"/>
      <x:c r="Z21" s="13" t="n"/>
      <x:c r="AB21" s="13" t="n"/>
      <x:c r="AD21" s="13" t="n"/>
      <x:c r="AF21" s="13" t="n"/>
      <x:c r="AH21" s="13" t="n"/>
      <x:c r="AJ21" s="13" t="n"/>
      <x:c r="AL21" s="13" t="n"/>
      <x:c r="AN21" s="13" t="n"/>
      <x:c r="AP21" s="13" t="n"/>
      <x:c r="AR21" s="13" t="n"/>
      <x:c r="AT21" s="13" t="n"/>
      <x:c r="AV21" s="13" t="n"/>
      <x:c r="AX21" s="13" t="n"/>
      <x:c r="AZ21" s="13" t="n"/>
      <x:c r="BB21" s="13" t="n"/>
      <x:c r="BD21" s="13" t="n"/>
      <x:c r="BF21" s="13" t="n"/>
    </x:row>
    <x:row r="22" s="1" customFormat="1" ht="63" customHeight="1">
      <x:c r="A22" s="42" t="inlineStr">
        <x:is>
          <x:t xml:space="preserve">3.3</x:t>
        </x:is>
      </x:c>
      <x:c r="B22" s="43" t="inlineStr">
        <x:is>
          <x:t xml:space="preserve">Потребуется этапная процедура приёмки с доработками, большой пакет документов, в приемке участвует несколько лиц, принимающих решение?</x:t>
        </x:is>
      </x:c>
      <x:c r="C22" s="64" t="inlineStr">
        <x:is>
          <x:t xml:space="preserve">Нет требований к документации и приёмке</x:t>
        </x:is>
      </x:c>
      <x:c r="D22" s="68">
        <x:f>INDEX(AM35:AM37,MATCH(C22,AL35:AL37,0))*E22</x:f>
        <x:v>0</x:v>
      </x:c>
      <x:c r="E22" s="32">
        <x:f>600*($C$37/3200)</x:f>
        <x:v>731.25</x:v>
      </x:c>
      <x:c r="F22" s="24" t="inlineStr">
        <x:is>
          <x:t xml:space="preserve">~600</x:t>
        </x:is>
      </x:c>
      <x:c r="J22" s="13" t="n"/>
      <x:c r="L22" s="13" t="n"/>
      <x:c r="N22" s="13" t="n"/>
      <x:c r="P22" s="13" t="n"/>
      <x:c r="R22" s="13" t="n"/>
      <x:c r="T22" s="13" t="n"/>
      <x:c r="V22" s="13" t="n"/>
      <x:c r="X22" s="13" t="n"/>
      <x:c r="Z22" s="13" t="n"/>
      <x:c r="AB22" s="13" t="n"/>
      <x:c r="AD22" s="13" t="n"/>
      <x:c r="AF22" s="13" t="n"/>
      <x:c r="AH22" s="13" t="n"/>
      <x:c r="AJ22" s="13" t="n"/>
      <x:c r="AL22" s="13" t="n"/>
      <x:c r="AN22" s="13" t="n"/>
      <x:c r="AP22" s="13" t="n"/>
      <x:c r="AR22" s="13" t="n"/>
      <x:c r="AT22" s="13" t="n"/>
      <x:c r="AV22" s="13" t="n"/>
      <x:c r="AX22" s="13" t="n"/>
      <x:c r="AZ22" s="13" t="n"/>
      <x:c r="BB22" s="13" t="n"/>
      <x:c r="BD22" s="13" t="n"/>
      <x:c r="BF22" s="13" t="n"/>
    </x:row>
    <x:row r="23" s="1" customFormat="1" ht="31.5" customHeight="1">
      <x:c r="A23" s="42" t="inlineStr">
        <x:is>
          <x:t xml:space="preserve">3.4</x:t>
        </x:is>
      </x:c>
      <x:c r="B23" s="43" t="inlineStr">
        <x:is>
          <x:t xml:space="preserve">Потребуется сопровождение робота после разработки?</x:t>
        </x:is>
      </x:c>
      <x:c r="C23" s="64" t="inlineStr">
        <x:is>
          <x:t xml:space="preserve">1 месяц</x:t>
        </x:is>
      </x:c>
      <x:c r="D23" s="68">
        <x:f>INDEX(AO35:AO38,MATCH(C23,AN35:AN38,0))*E23</x:f>
        <x:v>121.875</x:v>
      </x:c>
      <x:c r="E23" s="32">
        <x:f>100*($C$37/3200)</x:f>
        <x:v>121.875</x:v>
      </x:c>
      <x:c r="F23" s="24" t="inlineStr">
        <x:is>
          <x:t xml:space="preserve">~100</x:t>
        </x:is>
      </x:c>
      <x:c r="J23" s="13" t="n"/>
      <x:c r="L23" s="13" t="n"/>
      <x:c r="N23" s="13" t="n"/>
      <x:c r="P23" s="13" t="n"/>
      <x:c r="R23" s="13" t="n"/>
      <x:c r="T23" s="13" t="n"/>
      <x:c r="V23" s="13" t="n"/>
      <x:c r="X23" s="13" t="n"/>
      <x:c r="Z23" s="13" t="n"/>
      <x:c r="AB23" s="13" t="n"/>
      <x:c r="AD23" s="13" t="n"/>
      <x:c r="AF23" s="13" t="n"/>
      <x:c r="AH23" s="13" t="n"/>
      <x:c r="AJ23" s="13" t="n"/>
      <x:c r="AL23" s="13" t="n"/>
      <x:c r="AN23" s="13" t="n"/>
      <x:c r="AP23" s="13" t="n"/>
      <x:c r="AR23" s="13" t="n"/>
      <x:c r="AT23" s="13" t="n"/>
      <x:c r="AV23" s="13" t="n"/>
      <x:c r="AX23" s="13" t="n"/>
      <x:c r="AZ23" s="13" t="n"/>
      <x:c r="BB23" s="13" t="n"/>
      <x:c r="BD23" s="13" t="n"/>
      <x:c r="BF23" s="13" t="n"/>
    </x:row>
    <x:row r="24" s="1" customFormat="1" ht="16.5" customHeight="1">
      <x:c r="A24" s="39" t="n">
        <x:v>4</x:v>
      </x:c>
      <x:c r="B24" s="75" t="inlineStr">
        <x:is>
          <x:t xml:space="preserve">Лицензии на год / годовая подписка</x:t>
        </x:is>
      </x:c>
      <x:c r="C24" s="82" t="n"/>
      <x:c r="D24" s="62">
        <x:f>SUM(D25:D32)</x:f>
        <x:v>550</x:v>
      </x:c>
      <x:c r="E24" s="40" t="n"/>
      <x:c r="F24" s="41" t="n"/>
      <x:c r="J24" s="13" t="n"/>
      <x:c r="L24" s="13" t="n"/>
      <x:c r="N24" s="13" t="n"/>
      <x:c r="P24" s="13" t="n"/>
      <x:c r="R24" s="13" t="n"/>
      <x:c r="T24" s="13" t="n"/>
      <x:c r="V24" s="13" t="n"/>
      <x:c r="X24" s="13" t="n"/>
      <x:c r="Z24" s="13" t="n"/>
      <x:c r="AB24" s="13" t="n"/>
      <x:c r="AD24" s="13" t="n"/>
      <x:c r="AF24" s="13" t="n"/>
      <x:c r="AH24" s="13" t="n"/>
      <x:c r="AJ24" s="13" t="n"/>
      <x:c r="AL24" s="13" t="n"/>
      <x:c r="AN24" s="13" t="n"/>
      <x:c r="AP24" s="13" t="n"/>
      <x:c r="AR24" s="13" t="n"/>
      <x:c r="AT24" s="13" t="n"/>
      <x:c r="AV24" s="13" t="n"/>
      <x:c r="AX24" s="13" t="n"/>
      <x:c r="AZ24" s="13" t="n"/>
      <x:c r="BB24" s="13" t="n"/>
      <x:c r="BD24" s="13" t="n"/>
      <x:c r="BF24" s="13" t="n"/>
    </x:row>
    <x:row r="25" s="1" customFormat="1" ht="15.75" customHeight="1">
      <x:c r="A25" s="42" t="inlineStr">
        <x:is>
          <x:t xml:space="preserve">4.1</x:t>
        </x:is>
      </x:c>
      <x:c r="B25" s="43" t="inlineStr">
        <x:is>
          <x:t xml:space="preserve">Годовая подписка на Robin Cloud</x:t>
        </x:is>
      </x:c>
      <x:c r="C25" s="43" t="inlineStr">
        <x:is>
          <x:t xml:space="preserve">Нет</x:t>
        </x:is>
      </x:c>
      <x:c r="D25" s="63">
        <x:f>INDEX(AQ35:AQ39,MATCH(C25,AP35:AP39,0))*E25</x:f>
        <x:v>0</x:v>
      </x:c>
      <x:c r="E25" s="44" t="n">
        <x:v>100</x:v>
      </x:c>
      <x:c r="F25" s="41" t="inlineStr">
        <x:is>
          <x:t xml:space="preserve"> тарифы от 55 до 600 т.р.</x:t>
        </x:is>
      </x:c>
      <x:c r="J25" s="13" t="n"/>
      <x:c r="L25" s="13" t="n"/>
      <x:c r="N25" s="13" t="n"/>
      <x:c r="P25" s="13" t="n"/>
      <x:c r="R25" s="13" t="n"/>
      <x:c r="T25" s="13" t="n"/>
      <x:c r="V25" s="13" t="n"/>
      <x:c r="X25" s="13" t="n"/>
      <x:c r="Z25" s="13" t="n"/>
      <x:c r="AB25" s="13" t="n"/>
      <x:c r="AD25" s="13" t="n"/>
      <x:c r="AF25" s="13" t="n"/>
      <x:c r="AH25" s="13" t="n"/>
      <x:c r="AJ25" s="13" t="n"/>
      <x:c r="AL25" s="13" t="n"/>
      <x:c r="AN25" s="13" t="n"/>
      <x:c r="AP25" s="13" t="n"/>
      <x:c r="AR25" s="13" t="n"/>
      <x:c r="AT25" s="13" t="n"/>
      <x:c r="AV25" s="13" t="n"/>
      <x:c r="AX25" s="13" t="n"/>
      <x:c r="AZ25" s="13" t="n"/>
      <x:c r="BB25" s="13" t="n"/>
      <x:c r="BD25" s="13" t="n"/>
      <x:c r="BF25" s="13" t="n"/>
    </x:row>
    <x:row r="26" s="1" customFormat="1" ht="15.75" customHeight="1">
      <x:c r="A26" s="42" t="inlineStr">
        <x:is>
          <x:t xml:space="preserve">4.2</x:t>
        </x:is>
      </x:c>
      <x:c r="B26" s="43" t="inlineStr">
        <x:is>
          <x:t xml:space="preserve">Robin Assistant</x:t>
        </x:is>
      </x:c>
      <x:c r="C26" s="43" t="inlineStr">
        <x:is>
          <x:t xml:space="preserve">Нет</x:t>
        </x:is>
      </x:c>
      <x:c r="D26" s="63">
        <x:f>INDEX(AS35:AS40,MATCH(C26,AR35:AR40,0))*E26</x:f>
        <x:v>0</x:v>
      </x:c>
      <x:c r="E26" s="44" t="n">
        <x:v>200</x:v>
      </x:c>
      <x:c r="F26" s="41" t="n"/>
      <x:c r="J26" s="13" t="n"/>
      <x:c r="L26" s="13" t="n"/>
      <x:c r="N26" s="13" t="n"/>
      <x:c r="P26" s="13" t="n"/>
      <x:c r="R26" s="13" t="n"/>
      <x:c r="T26" s="13" t="n"/>
      <x:c r="V26" s="13" t="n"/>
      <x:c r="X26" s="13" t="n"/>
      <x:c r="Z26" s="13" t="n"/>
      <x:c r="AB26" s="13" t="n"/>
      <x:c r="AD26" s="13" t="n"/>
      <x:c r="AF26" s="13" t="n"/>
      <x:c r="AH26" s="13" t="n"/>
      <x:c r="AJ26" s="13" t="n"/>
      <x:c r="AL26" s="13" t="n"/>
      <x:c r="AN26" s="13" t="n"/>
      <x:c r="AP26" s="13" t="n"/>
      <x:c r="AR26" s="13" t="n"/>
      <x:c r="AT26" s="13" t="n"/>
      <x:c r="AV26" s="13" t="n"/>
      <x:c r="AX26" s="13" t="n"/>
      <x:c r="AZ26" s="13" t="n"/>
      <x:c r="BB26" s="13" t="n"/>
      <x:c r="BD26" s="13" t="n"/>
      <x:c r="BF26" s="13" t="n"/>
    </x:row>
    <x:row r="27" s="1" customFormat="1" ht="15.75" customHeight="1">
      <x:c r="A27" s="42" t="inlineStr">
        <x:is>
          <x:t xml:space="preserve">4.3</x:t>
        </x:is>
      </x:c>
      <x:c r="B27" s="43" t="inlineStr">
        <x:is>
          <x:t xml:space="preserve">Robin Studio 2.0</x:t>
        </x:is>
      </x:c>
      <x:c r="C27" s="43" t="inlineStr">
        <x:is>
          <x:t xml:space="preserve">Да, 1 лицензия</x:t>
        </x:is>
      </x:c>
      <x:c r="D27" s="63">
        <x:f>INDEX(AU35:AU36,MATCH(C27,AT35:AT36,0))*E27</x:f>
        <x:v>200</x:v>
      </x:c>
      <x:c r="E27" s="44" t="n">
        <x:v>200</x:v>
      </x:c>
      <x:c r="F27" s="41" t="n"/>
      <x:c r="J27" s="13" t="n"/>
      <x:c r="L27" s="13" t="n"/>
      <x:c r="N27" s="13" t="n"/>
      <x:c r="P27" s="13" t="n"/>
      <x:c r="R27" s="13" t="n"/>
      <x:c r="T27" s="13" t="n"/>
      <x:c r="V27" s="13" t="n"/>
      <x:c r="X27" s="13" t="n"/>
      <x:c r="Z27" s="13" t="n"/>
      <x:c r="AB27" s="13" t="n"/>
      <x:c r="AD27" s="13" t="n"/>
      <x:c r="AF27" s="13" t="n"/>
      <x:c r="AH27" s="13" t="n"/>
      <x:c r="AJ27" s="13" t="n"/>
      <x:c r="AL27" s="13" t="n"/>
      <x:c r="AN27" s="13" t="n"/>
      <x:c r="AP27" s="13" t="n"/>
      <x:c r="AR27" s="13" t="n"/>
      <x:c r="AT27" s="13" t="n"/>
      <x:c r="AV27" s="13" t="n"/>
      <x:c r="AX27" s="13" t="n"/>
      <x:c r="AZ27" s="13" t="n"/>
      <x:c r="BB27" s="13" t="n"/>
      <x:c r="BD27" s="13" t="n"/>
      <x:c r="BF27" s="13" t="n"/>
    </x:row>
    <x:row r="28" s="1" customFormat="1" ht="15.75" customHeight="1">
      <x:c r="A28" s="42" t="inlineStr">
        <x:is>
          <x:t xml:space="preserve">4.4</x:t>
        </x:is>
      </x:c>
      <x:c r="B28" s="43" t="inlineStr">
        <x:is>
          <x:t xml:space="preserve">Robin Robot 2.0</x:t>
        </x:is>
      </x:c>
      <x:c r="C28" s="43" t="inlineStr">
        <x:is>
          <x:t xml:space="preserve">Да, 1 лицензия</x:t>
        </x:is>
      </x:c>
      <x:c r="D28" s="63">
        <x:f>INDEX(AW35:AW40,MATCH(C28,AV35:AV40,0))*E28</x:f>
        <x:v>350</x:v>
      </x:c>
      <x:c r="E28" s="44" t="n">
        <x:v>350</x:v>
      </x:c>
      <x:c r="F28" s="41" t="n"/>
      <x:c r="J28" s="13" t="n"/>
      <x:c r="L28" s="13" t="n"/>
      <x:c r="N28" s="13" t="n"/>
      <x:c r="P28" s="13" t="n"/>
      <x:c r="R28" s="13" t="n"/>
      <x:c r="T28" s="13" t="n"/>
      <x:c r="V28" s="13" t="n"/>
      <x:c r="X28" s="13" t="n"/>
      <x:c r="Z28" s="13" t="n"/>
      <x:c r="AB28" s="13" t="n"/>
      <x:c r="AD28" s="13" t="n"/>
      <x:c r="AF28" s="13" t="n"/>
      <x:c r="AH28" s="13" t="n"/>
      <x:c r="AJ28" s="13" t="n"/>
      <x:c r="AL28" s="13" t="n"/>
      <x:c r="AN28" s="13" t="n"/>
      <x:c r="AP28" s="13" t="n"/>
      <x:c r="AR28" s="13" t="n"/>
      <x:c r="AT28" s="13" t="n"/>
      <x:c r="AV28" s="13" t="n"/>
      <x:c r="AX28" s="13" t="n"/>
      <x:c r="AZ28" s="13" t="n"/>
      <x:c r="BB28" s="13" t="n"/>
      <x:c r="BD28" s="13" t="n"/>
      <x:c r="BF28" s="13" t="n"/>
    </x:row>
    <x:row r="29" s="1" customFormat="1" ht="15.75" customHeight="1">
      <x:c r="A29" s="42" t="inlineStr">
        <x:is>
          <x:t xml:space="preserve">4.5</x:t>
        </x:is>
      </x:c>
      <x:c r="B29" s="43" t="inlineStr">
        <x:is>
          <x:t xml:space="preserve">Robin Orchestrator</x:t>
        </x:is>
      </x:c>
      <x:c r="C29" s="43" t="inlineStr">
        <x:is>
          <x:t xml:space="preserve">Нет</x:t>
        </x:is>
      </x:c>
      <x:c r="D29" s="63">
        <x:f>INDEX(AY35:AY36,MATCH(C29,AX35:AX36,0))*E29</x:f>
        <x:v>0</x:v>
      </x:c>
      <x:c r="E29" s="44" t="n">
        <x:v>1500</x:v>
      </x:c>
      <x:c r="F29" s="43" t="n"/>
      <x:c r="J29" s="13" t="n"/>
      <x:c r="L29" s="13" t="n"/>
      <x:c r="N29" s="13" t="n"/>
      <x:c r="P29" s="13" t="n"/>
      <x:c r="R29" s="13" t="n"/>
      <x:c r="T29" s="13" t="n"/>
      <x:c r="V29" s="13" t="n"/>
      <x:c r="X29" s="13" t="n"/>
      <x:c r="Z29" s="13" t="n"/>
      <x:c r="AB29" s="13" t="n"/>
      <x:c r="AD29" s="13" t="n"/>
      <x:c r="AF29" s="13" t="n"/>
      <x:c r="AH29" s="13" t="n"/>
      <x:c r="AJ29" s="13" t="n"/>
      <x:c r="AL29" s="13" t="n"/>
      <x:c r="AN29" s="13" t="n"/>
      <x:c r="AP29" s="13" t="n"/>
      <x:c r="AR29" s="13" t="n"/>
      <x:c r="AT29" s="13" t="n"/>
      <x:c r="AV29" s="13" t="n"/>
      <x:c r="AX29" s="13" t="n"/>
      <x:c r="AZ29" s="13" t="n"/>
      <x:c r="BB29" s="13" t="n"/>
      <x:c r="BD29" s="13" t="n"/>
      <x:c r="BF29" s="13" t="n"/>
    </x:row>
    <x:row r="30" s="1" customFormat="1" ht="15.75" customHeight="1">
      <x:c r="A30" s="42" t="inlineStr">
        <x:is>
          <x:t xml:space="preserve">4.6</x:t>
        </x:is>
      </x:c>
      <x:c r="B30" s="43" t="inlineStr">
        <x:is>
          <x:t xml:space="preserve">Robin AI</x:t>
        </x:is>
      </x:c>
      <x:c r="C30" s="43" t="inlineStr">
        <x:is>
          <x:t xml:space="preserve">Нет</x:t>
        </x:is>
      </x:c>
      <x:c r="D30" s="63">
        <x:f>INDEX(AU35:AU36,MATCH(C30,AT35:AT36,0))*E30</x:f>
        <x:v>0</x:v>
      </x:c>
      <x:c r="E30" s="44" t="n">
        <x:v>750</x:v>
      </x:c>
      <x:c r="F30" s="41" t="n"/>
      <x:c r="J30" s="13" t="n"/>
      <x:c r="L30" s="13" t="n"/>
      <x:c r="N30" s="13" t="n"/>
      <x:c r="P30" s="13" t="n"/>
      <x:c r="R30" s="13" t="n"/>
      <x:c r="T30" s="13" t="n"/>
      <x:c r="V30" s="13" t="n"/>
      <x:c r="X30" s="13" t="n"/>
      <x:c r="Z30" s="13" t="n"/>
      <x:c r="AB30" s="13" t="n"/>
      <x:c r="AD30" s="13" t="n"/>
      <x:c r="AF30" s="13" t="n"/>
      <x:c r="AH30" s="13" t="n"/>
      <x:c r="AJ30" s="13" t="n"/>
      <x:c r="AL30" s="13" t="n"/>
      <x:c r="AN30" s="13" t="n"/>
      <x:c r="AP30" s="13" t="n"/>
      <x:c r="AR30" s="13" t="n"/>
      <x:c r="AT30" s="13" t="n"/>
      <x:c r="AV30" s="13" t="n"/>
      <x:c r="AX30" s="13" t="n"/>
      <x:c r="AZ30" s="13" t="n"/>
      <x:c r="BB30" s="13" t="n"/>
      <x:c r="BD30" s="13" t="n"/>
      <x:c r="BF30" s="13" t="n"/>
    </x:row>
    <x:row r="31" s="1" customFormat="1" ht="15.75" customHeight="1">
      <x:c r="A31" s="42" t="inlineStr">
        <x:is>
          <x:t xml:space="preserve">4.7</x:t>
        </x:is>
      </x:c>
      <x:c r="B31" s="43" t="inlineStr">
        <x:is>
          <x:t xml:space="preserve">Robin ChatBot</x:t>
        </x:is>
      </x:c>
      <x:c r="C31" s="43" t="inlineStr">
        <x:is>
          <x:t xml:space="preserve">Нет</x:t>
        </x:is>
      </x:c>
      <x:c r="D31" s="63">
        <x:f>INDEX(AU35:AU36,MATCH(C31,AT35:AT36,0))*E31</x:f>
        <x:v>0</x:v>
      </x:c>
      <x:c r="E31" s="44" t="n">
        <x:v>1000</x:v>
      </x:c>
      <x:c r="F31" s="41" t="n"/>
      <x:c r="J31" s="13" t="n"/>
      <x:c r="L31" s="13" t="n"/>
      <x:c r="N31" s="13" t="n"/>
      <x:c r="P31" s="13" t="n"/>
      <x:c r="R31" s="13" t="n"/>
      <x:c r="T31" s="13" t="n"/>
      <x:c r="V31" s="13" t="n"/>
      <x:c r="X31" s="13" t="n"/>
      <x:c r="Z31" s="13" t="n"/>
      <x:c r="AB31" s="13" t="n"/>
      <x:c r="AD31" s="13" t="n"/>
      <x:c r="AF31" s="13" t="n"/>
      <x:c r="AH31" s="13" t="n"/>
      <x:c r="AJ31" s="13" t="n"/>
      <x:c r="AL31" s="13" t="n"/>
      <x:c r="AN31" s="13" t="n"/>
      <x:c r="AP31" s="13" t="n"/>
      <x:c r="AR31" s="13" t="n"/>
      <x:c r="AT31" s="13" t="n"/>
      <x:c r="AV31" s="13" t="n"/>
      <x:c r="AX31" s="13" t="n"/>
      <x:c r="AZ31" s="13" t="n"/>
      <x:c r="BB31" s="13" t="n"/>
      <x:c r="BD31" s="13" t="n"/>
      <x:c r="BF31" s="13" t="n"/>
    </x:row>
    <x:row r="32" s="1" customFormat="1" ht="15.75" customHeight="1">
      <x:c r="A32" s="42" t="inlineStr">
        <x:is>
          <x:t xml:space="preserve">4.8</x:t>
        </x:is>
      </x:c>
      <x:c r="B32" s="43" t="inlineStr">
        <x:is>
          <x:t xml:space="preserve">Robin OCR</x:t>
        </x:is>
      </x:c>
      <x:c r="C32" s="43" t="inlineStr">
        <x:is>
          <x:t xml:space="preserve">Нет</x:t>
        </x:is>
      </x:c>
      <x:c r="D32" s="63">
        <x:f>INDEX(AU35:AU36,MATCH(C32,AT35:AT36,0))*E32</x:f>
        <x:v>0</x:v>
      </x:c>
      <x:c r="E32" s="44" t="n">
        <x:v>3000</x:v>
      </x:c>
      <x:c r="F32" s="41" t="n"/>
      <x:c r="J32" s="13" t="n"/>
      <x:c r="L32" s="13" t="n"/>
      <x:c r="N32" s="13" t="n"/>
      <x:c r="P32" s="13" t="n"/>
      <x:c r="R32" s="13" t="n"/>
      <x:c r="T32" s="13" t="n"/>
      <x:c r="V32" s="13" t="n"/>
      <x:c r="X32" s="13" t="n"/>
      <x:c r="Z32" s="13" t="n"/>
      <x:c r="AB32" s="13" t="n"/>
      <x:c r="AD32" s="13" t="n"/>
      <x:c r="AF32" s="13" t="n"/>
      <x:c r="AH32" s="13" t="n"/>
      <x:c r="AJ32" s="13" t="n"/>
      <x:c r="AL32" s="13" t="n"/>
      <x:c r="AN32" s="13" t="n"/>
      <x:c r="AP32" s="13" t="n"/>
      <x:c r="AR32" s="13" t="n"/>
      <x:c r="AT32" s="13" t="n"/>
      <x:c r="AV32" s="13" t="n"/>
      <x:c r="AX32" s="13" t="n"/>
      <x:c r="AZ32" s="13" t="n"/>
      <x:c r="BB32" s="13" t="n"/>
      <x:c r="BD32" s="13" t="n"/>
      <x:c r="BF32" s="13" t="n"/>
    </x:row>
    <x:row r="33" s="1" customFormat="1" ht="16.5" customHeight="1">
      <x:c r="A33" s="45" t="n">
        <x:v>4</x:v>
      </x:c>
      <x:c r="B33" s="46" t="inlineStr">
        <x:is>
          <x:t xml:space="preserve">Скидки и иные условия</x:t>
        </x:is>
      </x:c>
      <x:c r="C33" s="66" t="inlineStr">
        <x:is>
          <x:t xml:space="preserve">Скидка 10%</x:t>
        </x:is>
      </x:c>
      <x:c r="D33" s="64">
        <x:f>IF(C33="Нет",0,IF(C33="Скидка 5%",-5,IF(C33="Скидка 10%",-10,IF(C33="Скидка 15%",-15,IF(C33="Наценка 5%",5,IF(C33="Наценка 10%",10,IF(C33="Наценка 15%",15,0)))))))</x:f>
        <x:v>-10</x:v>
      </x:c>
      <x:c r="E33" s="47" t="n">
        <x:v>1</x:v>
      </x:c>
      <x:c r="F33" s="48" t="n"/>
      <x:c r="J33" s="14" t="inlineStr">
        <x:is>
          <x:t xml:space="preserve">Словарь для списков</x:t>
        </x:is>
      </x:c>
      <x:c r="K33" s="14" t="n"/>
      <x:c r="L33" s="14" t="n"/>
      <x:c r="M33" s="14" t="n"/>
      <x:c r="N33" s="14" t="n"/>
      <x:c r="O33" s="14" t="n"/>
      <x:c r="P33" s="14" t="n"/>
      <x:c r="Q33" s="14" t="n"/>
      <x:c r="R33" s="14" t="n"/>
      <x:c r="S33" s="14" t="n"/>
      <x:c r="T33" s="14" t="n"/>
      <x:c r="V33" s="14" t="n"/>
      <x:c r="X33" s="14" t="n"/>
      <x:c r="Z33" s="14" t="n"/>
      <x:c r="AB33" s="14" t="n"/>
      <x:c r="AD33" s="14" t="n"/>
      <x:c r="AF33" s="14" t="n"/>
      <x:c r="AH33" s="14" t="n"/>
      <x:c r="AJ33" s="14" t="n"/>
      <x:c r="AL33" s="14" t="n"/>
      <x:c r="AN33" s="14" t="n"/>
      <x:c r="AP33" s="14" t="n"/>
      <x:c r="AR33" s="14" t="n"/>
      <x:c r="AT33" s="14" t="n"/>
      <x:c r="AV33" s="14" t="n"/>
      <x:c r="AX33" s="14" t="n"/>
      <x:c r="AZ33" s="14" t="n"/>
      <x:c r="BB33" s="14" t="n"/>
      <x:c r="BD33" s="14" t="n"/>
      <x:c r="BF33" s="14" t="n"/>
    </x:row>
    <x:row r="34" s="1" customFormat="1" ht="17.100000381469727" customHeight="1">
      <x:c r="A34" s="83" t="inlineStr">
        <x:is>
          <x:t xml:space="preserve">Итого по всем работам</x:t>
        </x:is>
      </x:c>
      <x:c r="B34" s="84" t="n"/>
      <x:c r="C34" s="85" t="n"/>
      <x:c r="D34" s="65">
        <x:f>SUM(D5,D8,D19,D24)*((100+D33)/100)</x:f>
        <x:v>1506.8671875</x:v>
      </x:c>
      <x:c r="E34" s="49" t="n"/>
      <x:c r="F34" s="49" t="n"/>
      <x:c r="J34" s="53" t="inlineStr">
        <x:is>
          <x:t xml:space="preserve">1.1</x:t>
        </x:is>
      </x:c>
      <x:c r="K34" s="54" t="n"/>
      <x:c r="L34" s="55" t="inlineStr">
        <x:is>
          <x:t xml:space="preserve">1.2</x:t>
        </x:is>
      </x:c>
      <x:c r="M34" s="54" t="n"/>
      <x:c r="N34" s="55" t="inlineStr">
        <x:is>
          <x:t xml:space="preserve">2.1</x:t>
        </x:is>
      </x:c>
      <x:c r="O34" s="54" t="n"/>
      <x:c r="P34" s="55" t="inlineStr">
        <x:is>
          <x:t xml:space="preserve">2.2</x:t>
        </x:is>
      </x:c>
      <x:c r="Q34" s="54" t="n"/>
      <x:c r="R34" s="55" t="inlineStr">
        <x:is>
          <x:t xml:space="preserve">2.3</x:t>
        </x:is>
      </x:c>
      <x:c r="S34" s="54" t="n"/>
      <x:c r="T34" s="55" t="inlineStr">
        <x:is>
          <x:t xml:space="preserve">2.4</x:t>
        </x:is>
      </x:c>
      <x:c r="U34" s="56" t="n"/>
      <x:c r="V34" s="55" t="inlineStr">
        <x:is>
          <x:t xml:space="preserve">2.5</x:t>
        </x:is>
      </x:c>
      <x:c r="W34" s="54" t="n"/>
      <x:c r="X34" s="55" t="inlineStr">
        <x:is>
          <x:t xml:space="preserve">2.6</x:t>
        </x:is>
      </x:c>
      <x:c r="Y34" s="56" t="n"/>
      <x:c r="Z34" s="55" t="inlineStr">
        <x:is>
          <x:t xml:space="preserve">2.7</x:t>
        </x:is>
      </x:c>
      <x:c r="AA34" s="54" t="n"/>
      <x:c r="AB34" s="55" t="inlineStr">
        <x:is>
          <x:t xml:space="preserve">2.8</x:t>
        </x:is>
      </x:c>
      <x:c r="AC34" s="56" t="n"/>
      <x:c r="AD34" s="55" t="inlineStr">
        <x:is>
          <x:t xml:space="preserve">2.9</x:t>
        </x:is>
      </x:c>
      <x:c r="AE34" s="56" t="n"/>
      <x:c r="AF34" s="55" t="inlineStr">
        <x:is>
          <x:t xml:space="preserve">2.10</x:t>
        </x:is>
      </x:c>
      <x:c r="AG34" s="56" t="n"/>
      <x:c r="AH34" s="55" t="inlineStr">
        <x:is>
          <x:t xml:space="preserve">3.1</x:t>
        </x:is>
      </x:c>
      <x:c r="AI34" s="56" t="n"/>
      <x:c r="AJ34" s="55" t="inlineStr">
        <x:is>
          <x:t xml:space="preserve">3.2</x:t>
        </x:is>
      </x:c>
      <x:c r="AK34" s="56" t="n"/>
      <x:c r="AL34" s="55" t="inlineStr">
        <x:is>
          <x:t xml:space="preserve">3.3</x:t>
        </x:is>
      </x:c>
      <x:c r="AM34" s="56" t="n"/>
      <x:c r="AN34" s="55" t="inlineStr">
        <x:is>
          <x:t xml:space="preserve">3.4</x:t>
        </x:is>
      </x:c>
      <x:c r="AO34" s="56" t="n"/>
      <x:c r="AP34" s="55" t="inlineStr">
        <x:is>
          <x:t xml:space="preserve">4.1</x:t>
        </x:is>
      </x:c>
      <x:c r="AQ34" s="56" t="n"/>
      <x:c r="AR34" s="55" t="inlineStr">
        <x:is>
          <x:t xml:space="preserve">4.2</x:t>
        </x:is>
      </x:c>
      <x:c r="AS34" s="56" t="n"/>
      <x:c r="AT34" s="55" t="inlineStr">
        <x:is>
          <x:t xml:space="preserve">4.3</x:t>
        </x:is>
      </x:c>
      <x:c r="AU34" s="56" t="n"/>
      <x:c r="AV34" s="55" t="inlineStr">
        <x:is>
          <x:t xml:space="preserve">4.4</x:t>
        </x:is>
      </x:c>
      <x:c r="AW34" s="56" t="n"/>
      <x:c r="AX34" s="55" t="inlineStr">
        <x:is>
          <x:t xml:space="preserve">4.5</x:t>
        </x:is>
      </x:c>
      <x:c r="AY34" s="56" t="n"/>
      <x:c r="AZ34" s="55" t="inlineStr">
        <x:is>
          <x:t xml:space="preserve">4.6</x:t>
        </x:is>
      </x:c>
      <x:c r="BA34" s="56" t="n"/>
      <x:c r="BB34" s="55" t="inlineStr">
        <x:is>
          <x:t xml:space="preserve">4.7</x:t>
        </x:is>
      </x:c>
      <x:c r="BC34" s="56" t="n"/>
      <x:c r="BD34" s="55" t="inlineStr">
        <x:is>
          <x:t xml:space="preserve">4.8</x:t>
        </x:is>
      </x:c>
      <x:c r="BE34" s="57" t="n"/>
      <x:c r="BF34" s="55" t="inlineStr">
        <x:is>
          <x:t xml:space="preserve">5 (4)</x:t>
        </x:is>
      </x:c>
      <x:c r="BG34" s="57" t="n"/>
    </x:row>
    <x:row r="35" s="1" customFormat="1" ht="31.5" customHeight="1">
      <x:c r="A35" s="2" t="n"/>
      <x:c r="B35" s="14" t="inlineStr">
        <x:is>
          <x:t xml:space="preserve">Номер и дата запроса:</x:t>
        </x:is>
      </x:c>
      <x:c r="C35" s="36" t="inlineStr">
        <x:is>
          <x:t xml:space="preserve">Заявка RPA-YG-001 от 16.12.2025</x:t>
        </x:is>
      </x:c>
      <x:c r="J35" s="58" t="inlineStr">
        <x:is>
          <x:t xml:space="preserve">Неизвестно</x:t>
        </x:is>
      </x:c>
      <x:c r="K35" s="59" t="n">
        <x:v>1.5</x:v>
      </x:c>
      <x:c r="L35" s="58" t="inlineStr">
        <x:is>
          <x:t xml:space="preserve">Неизвестно</x:t>
        </x:is>
      </x:c>
      <x:c r="M35" s="59" t="n">
        <x:v>1.5</x:v>
      </x:c>
      <x:c r="N35" s="58" t="inlineStr">
        <x:is>
          <x:t xml:space="preserve">Нет</x:t>
        </x:is>
      </x:c>
      <x:c r="O35" s="59" t="n">
        <x:v>0</x:v>
      </x:c>
      <x:c r="P35" s="58" t="inlineStr">
        <x:is>
          <x:t xml:space="preserve">Нет</x:t>
        </x:is>
      </x:c>
      <x:c r="Q35" s="59" t="n">
        <x:v>0</x:v>
      </x:c>
      <x:c r="R35" s="58" t="inlineStr">
        <x:is>
          <x:t xml:space="preserve">Нет</x:t>
        </x:is>
      </x:c>
      <x:c r="S35" s="59" t="n">
        <x:v>0</x:v>
      </x:c>
      <x:c r="T35" s="58" t="inlineStr">
        <x:is>
          <x:t xml:space="preserve">Нет</x:t>
        </x:is>
      </x:c>
      <x:c r="U35" s="59" t="n">
        <x:v>0</x:v>
      </x:c>
      <x:c r="V35" s="58" t="inlineStr">
        <x:is>
          <x:t xml:space="preserve">Нет</x:t>
        </x:is>
      </x:c>
      <x:c r="W35" s="59" t="n">
        <x:v>0</x:v>
      </x:c>
      <x:c r="X35" s="58" t="inlineStr">
        <x:is>
          <x:t xml:space="preserve">Нет</x:t>
        </x:is>
      </x:c>
      <x:c r="Y35" s="59" t="n">
        <x:v>0</x:v>
      </x:c>
      <x:c r="Z35" s="58" t="inlineStr">
        <x:is>
          <x:t xml:space="preserve">Нет</x:t>
        </x:is>
      </x:c>
      <x:c r="AA35" s="59" t="n">
        <x:v>0</x:v>
      </x:c>
      <x:c r="AB35" s="58" t="inlineStr">
        <x:is>
          <x:t xml:space="preserve">Нет</x:t>
        </x:is>
      </x:c>
      <x:c r="AC35" s="59" t="n">
        <x:v>0</x:v>
      </x:c>
      <x:c r="AD35" s="58" t="inlineStr">
        <x:is>
          <x:t xml:space="preserve">Нет</x:t>
        </x:is>
      </x:c>
      <x:c r="AE35" s="59" t="n">
        <x:v>0</x:v>
      </x:c>
      <x:c r="AF35" s="58" t="inlineStr">
        <x:is>
          <x:t xml:space="preserve">Нет</x:t>
        </x:is>
      </x:c>
      <x:c r="AG35" s="59" t="n">
        <x:v>0</x:v>
      </x:c>
      <x:c r="AH35" s="58" t="inlineStr">
        <x:is>
          <x:t xml:space="preserve">Нет требований к документации и приёмке</x:t>
        </x:is>
      </x:c>
      <x:c r="AI35" s="59" t="n">
        <x:v>0</x:v>
      </x:c>
      <x:c r="AJ35" s="58" t="inlineStr">
        <x:is>
          <x:t xml:space="preserve">Нет требований к документации и приёмке</x:t>
        </x:is>
      </x:c>
      <x:c r="AK35" s="59" t="n">
        <x:v>0</x:v>
      </x:c>
      <x:c r="AL35" s="58" t="inlineStr">
        <x:is>
          <x:t xml:space="preserve">Нет требований к документации и приёмке</x:t>
        </x:is>
      </x:c>
      <x:c r="AM35" s="59" t="n">
        <x:v>0</x:v>
      </x:c>
      <x:c r="AN35" s="58" t="inlineStr">
        <x:is>
          <x:t xml:space="preserve">Нет требований к сопровождению</x:t>
        </x:is>
      </x:c>
      <x:c r="AO35" s="59" t="n">
        <x:v>0</x:v>
      </x:c>
      <x:c r="AP35" s="58" t="inlineStr">
        <x:is>
          <x:t xml:space="preserve">Нет</x:t>
        </x:is>
      </x:c>
      <x:c r="AQ35" s="59" t="n">
        <x:v>0</x:v>
      </x:c>
      <x:c r="AR35" s="58" t="inlineStr">
        <x:is>
          <x:t xml:space="preserve">Нет</x:t>
        </x:is>
      </x:c>
      <x:c r="AS35" s="59" t="n">
        <x:v>0</x:v>
      </x:c>
      <x:c r="AT35" s="58" t="inlineStr">
        <x:is>
          <x:t xml:space="preserve">Нет</x:t>
        </x:is>
      </x:c>
      <x:c r="AU35" s="59" t="n">
        <x:v>0</x:v>
      </x:c>
      <x:c r="AV35" s="58" t="inlineStr">
        <x:is>
          <x:t xml:space="preserve">Нет</x:t>
        </x:is>
      </x:c>
      <x:c r="AW35" s="59" t="n">
        <x:v>0</x:v>
      </x:c>
      <x:c r="AX35" s="58" t="inlineStr">
        <x:is>
          <x:t xml:space="preserve">Нет</x:t>
        </x:is>
      </x:c>
      <x:c r="AY35" s="59" t="n">
        <x:v>0</x:v>
      </x:c>
      <x:c r="AZ35" s="58" t="inlineStr">
        <x:is>
          <x:t xml:space="preserve">Нет</x:t>
        </x:is>
      </x:c>
      <x:c r="BA35" s="59" t="n">
        <x:v>0</x:v>
      </x:c>
      <x:c r="BB35" s="58" t="inlineStr">
        <x:is>
          <x:t xml:space="preserve">Нет</x:t>
        </x:is>
      </x:c>
      <x:c r="BC35" s="59" t="n">
        <x:v>0</x:v>
      </x:c>
      <x:c r="BD35" s="58" t="inlineStr">
        <x:is>
          <x:t xml:space="preserve">Нет</x:t>
        </x:is>
      </x:c>
      <x:c r="BE35" s="59" t="n">
        <x:v>0</x:v>
      </x:c>
      <x:c r="BF35" s="58" t="inlineStr">
        <x:is>
          <x:t xml:space="preserve">Нет</x:t>
        </x:is>
      </x:c>
      <x:c r="BG35" s="59" t="n">
        <x:v>0</x:v>
      </x:c>
    </x:row>
    <x:row r="36" s="1" customFormat="1" ht="31.5" customHeight="1">
      <x:c r="A36" s="2" t="n"/>
      <x:c r="B36" s="14" t="inlineStr">
        <x:is>
          <x:t xml:space="preserve">Дата расчёта:</x:t>
        </x:is>
      </x:c>
      <x:c r="C36" s="35">
        <x:f>TODAY()</x:f>
        <x:v>46007</x:v>
      </x:c>
      <x:c r="J36" s="43" t="inlineStr">
        <x:is>
          <x:t xml:space="preserve">Не требуется, обследование за наш счёт</x:t>
        </x:is>
      </x:c>
      <x:c r="K36" s="60" t="n">
        <x:v>0</x:v>
      </x:c>
      <x:c r="L36" s="43" t="inlineStr">
        <x:is>
          <x:t xml:space="preserve">Подготовка документов для согласования задачи не требуется</x:t>
        </x:is>
      </x:c>
      <x:c r="M36" s="60" t="n">
        <x:v>0</x:v>
      </x:c>
      <x:c r="N36" s="43" t="inlineStr">
        <x:is>
          <x:t xml:space="preserve">В минимальном объеме</x:t>
        </x:is>
      </x:c>
      <x:c r="O36" s="60" t="n">
        <x:v>0.5</x:v>
      </x:c>
      <x:c r="P36" s="43" t="inlineStr">
        <x:is>
          <x:t xml:space="preserve">В минимальном объеме</x:t>
        </x:is>
      </x:c>
      <x:c r="Q36" s="60" t="n">
        <x:v>0.5</x:v>
      </x:c>
      <x:c r="R36" s="43" t="inlineStr">
        <x:is>
          <x:t xml:space="preserve">В минимальном объеме</x:t>
        </x:is>
      </x:c>
      <x:c r="S36" s="60" t="n">
        <x:v>0.5</x:v>
      </x:c>
      <x:c r="T36" s="43" t="inlineStr">
        <x:is>
          <x:t xml:space="preserve">В минимальном объеме</x:t>
        </x:is>
      </x:c>
      <x:c r="U36" s="60" t="n">
        <x:v>0.5</x:v>
      </x:c>
      <x:c r="V36" s="43" t="inlineStr">
        <x:is>
          <x:t xml:space="preserve">В минимальном объеме</x:t>
        </x:is>
      </x:c>
      <x:c r="W36" s="60" t="n">
        <x:v>0.5</x:v>
      </x:c>
      <x:c r="X36" s="43" t="inlineStr">
        <x:is>
          <x:t xml:space="preserve">В минимальном объеме</x:t>
        </x:is>
      </x:c>
      <x:c r="Y36" s="60" t="n">
        <x:v>0.8</x:v>
      </x:c>
      <x:c r="Z36" s="43" t="inlineStr">
        <x:is>
          <x:t xml:space="preserve">В минимальном объеме</x:t>
        </x:is>
      </x:c>
      <x:c r="AA36" s="60" t="n">
        <x:v>0.8</x:v>
      </x:c>
      <x:c r="AB36" s="43" t="inlineStr">
        <x:is>
          <x:t xml:space="preserve">В минимальном объеме</x:t>
        </x:is>
      </x:c>
      <x:c r="AC36" s="60" t="n">
        <x:v>0.8</x:v>
      </x:c>
      <x:c r="AD36" s="43" t="inlineStr">
        <x:is>
          <x:t xml:space="preserve">В минимальном объеме</x:t>
        </x:is>
      </x:c>
      <x:c r="AE36" s="60" t="n">
        <x:v>0.8</x:v>
      </x:c>
      <x:c r="AF36" s="58" t="inlineStr">
        <x:is>
          <x:t xml:space="preserve">Есть</x:t>
        </x:is>
      </x:c>
      <x:c r="AG36" s="60" t="n">
        <x:v>0.8</x:v>
      </x:c>
      <x:c r="AH36" s="43" t="inlineStr">
        <x:is>
          <x:t xml:space="preserve">Да</x:t>
        </x:is>
      </x:c>
      <x:c r="AI36" s="60" t="n">
        <x:v>1</x:v>
      </x:c>
      <x:c r="AJ36" s="43" t="inlineStr">
        <x:is>
          <x:t xml:space="preserve">Да</x:t>
        </x:is>
      </x:c>
      <x:c r="AK36" s="60" t="n">
        <x:v>1</x:v>
      </x:c>
      <x:c r="AL36" s="43" t="inlineStr">
        <x:is>
          <x:t xml:space="preserve">Да</x:t>
        </x:is>
      </x:c>
      <x:c r="AM36" s="60" t="n">
        <x:v>1</x:v>
      </x:c>
      <x:c r="AN36" s="43" t="inlineStr">
        <x:is>
          <x:t xml:space="preserve">1 неделя</x:t>
        </x:is>
      </x:c>
      <x:c r="AO36" s="60" t="n">
        <x:v>0.25</x:v>
      </x:c>
      <x:c r="AP36" s="43" t="inlineStr">
        <x:is>
          <x:t xml:space="preserve">Минимальный</x:t>
        </x:is>
      </x:c>
      <x:c r="AQ36" s="60" t="n">
        <x:v>0.55</x:v>
      </x:c>
      <x:c r="AR36" s="43" t="inlineStr">
        <x:is>
          <x:t xml:space="preserve">Да, 1 лицензия</x:t>
        </x:is>
      </x:c>
      <x:c r="AS36" s="60" t="n">
        <x:v>1</x:v>
      </x:c>
      <x:c r="AT36" s="43" t="inlineStr">
        <x:is>
          <x:t xml:space="preserve">Да, 1 лицензия</x:t>
        </x:is>
      </x:c>
      <x:c r="AU36" s="60" t="n">
        <x:v>1</x:v>
      </x:c>
      <x:c r="AV36" s="43" t="inlineStr">
        <x:is>
          <x:t xml:space="preserve">Да, 1 лицензия</x:t>
        </x:is>
      </x:c>
      <x:c r="AW36" s="60" t="n">
        <x:v>1</x:v>
      </x:c>
      <x:c r="AX36" s="43" t="inlineStr">
        <x:is>
          <x:t xml:space="preserve">Да, 1 лицензия</x:t>
        </x:is>
      </x:c>
      <x:c r="AY36" s="60" t="n">
        <x:v>1</x:v>
      </x:c>
      <x:c r="AZ36" s="43" t="inlineStr">
        <x:is>
          <x:t xml:space="preserve">Да, 1 лицензия</x:t>
        </x:is>
      </x:c>
      <x:c r="BA36" s="60" t="n">
        <x:v>1</x:v>
      </x:c>
      <x:c r="BB36" s="43" t="inlineStr">
        <x:is>
          <x:t xml:space="preserve">Да, 1 лицензия</x:t>
        </x:is>
      </x:c>
      <x:c r="BC36" s="60" t="n">
        <x:v>1</x:v>
      </x:c>
      <x:c r="BD36" s="43" t="inlineStr">
        <x:is>
          <x:t xml:space="preserve">Да, 1 лицензия</x:t>
        </x:is>
      </x:c>
      <x:c r="BE36" s="60" t="n">
        <x:v>1</x:v>
      </x:c>
      <x:c r="BF36" s="43" t="inlineStr">
        <x:is>
          <x:t xml:space="preserve">Скидка 5%</x:t>
        </x:is>
      </x:c>
      <x:c r="BG36" s="60" t="n">
        <x:v>-5</x:v>
      </x:c>
    </x:row>
    <x:row r="37" s="1" customFormat="1" ht="47.25" customHeight="1">
      <x:c r="A37" s="2" t="n"/>
      <x:c r="B37" s="67" t="inlineStr">
        <x:is>
          <x:t xml:space="preserve">Закладываемая в расчёт поправка на действующую ставку аналитика за час:</x:t>
        </x:is>
      </x:c>
      <x:c r="C37" s="1" t="n">
        <x:v>3900</x:v>
      </x:c>
      <x:c r="J37" s="43" t="inlineStr">
        <x:is>
          <x:t xml:space="preserve">Есть подробное описание и видео записи прохождения процесса для роботизации</x:t>
        </x:is>
      </x:c>
      <x:c r="K37" s="60" t="n">
        <x:v>0.5</x:v>
      </x:c>
      <x:c r="L37" s="43" t="inlineStr">
        <x:is>
          <x:t xml:space="preserve">Минимальное описание и согласование задачи перед разработкой</x:t>
        </x:is>
      </x:c>
      <x:c r="M37" s="60" t="n">
        <x:v>0.5</x:v>
      </x:c>
      <x:c r="N37" s="43" t="inlineStr">
        <x:is>
          <x:t xml:space="preserve">Присутствуют</x:t>
        </x:is>
      </x:c>
      <x:c r="O37" s="60" t="n">
        <x:v>1</x:v>
      </x:c>
      <x:c r="P37" s="43" t="inlineStr">
        <x:is>
          <x:t xml:space="preserve">Присутствуют</x:t>
        </x:is>
      </x:c>
      <x:c r="Q37" s="60" t="n">
        <x:v>1</x:v>
      </x:c>
      <x:c r="R37" s="43" t="inlineStr">
        <x:is>
          <x:t xml:space="preserve">Присутствуют</x:t>
        </x:is>
      </x:c>
      <x:c r="S37" s="60" t="n">
        <x:v>1</x:v>
      </x:c>
      <x:c r="T37" s="43" t="inlineStr">
        <x:is>
          <x:t xml:space="preserve">Присутствуют</x:t>
        </x:is>
      </x:c>
      <x:c r="U37" s="60" t="n">
        <x:v>1</x:v>
      </x:c>
      <x:c r="V37" s="43" t="inlineStr">
        <x:is>
          <x:t xml:space="preserve">Присутствуют</x:t>
        </x:is>
      </x:c>
      <x:c r="W37" s="60" t="n">
        <x:v>1</x:v>
      </x:c>
      <x:c r="X37" s="43" t="inlineStr">
        <x:is>
          <x:t xml:space="preserve">Активно используются</x:t>
        </x:is>
      </x:c>
      <x:c r="Y37" s="60" t="n">
        <x:v>1</x:v>
      </x:c>
      <x:c r="Z37" s="43" t="inlineStr">
        <x:is>
          <x:t xml:space="preserve">Активно используются</x:t>
        </x:is>
      </x:c>
      <x:c r="AA37" s="60" t="n">
        <x:v>1</x:v>
      </x:c>
      <x:c r="AB37" s="43" t="inlineStr">
        <x:is>
          <x:t xml:space="preserve">Активно используются</x:t>
        </x:is>
      </x:c>
      <x:c r="AC37" s="60" t="n">
        <x:v>1</x:v>
      </x:c>
      <x:c r="AD37" s="43" t="inlineStr">
        <x:is>
          <x:t xml:space="preserve">Активно используются</x:t>
        </x:is>
      </x:c>
      <x:c r="AE37" s="60" t="n">
        <x:v>1</x:v>
      </x:c>
      <x:c r="AF37" s="58" t="inlineStr">
        <x:is>
          <x:t xml:space="preserve">Неизвестно</x:t>
        </x:is>
      </x:c>
      <x:c r="AG37" s="60" t="n">
        <x:v>1</x:v>
      </x:c>
      <x:c r="AH37" s="43" t="inlineStr">
        <x:is>
          <x:t xml:space="preserve">Неизвестно</x:t>
        </x:is>
      </x:c>
      <x:c r="AI37" s="60" t="n">
        <x:v>1</x:v>
      </x:c>
      <x:c r="AJ37" s="43" t="inlineStr">
        <x:is>
          <x:t xml:space="preserve">Неизвестно</x:t>
        </x:is>
      </x:c>
      <x:c r="AK37" s="60" t="n">
        <x:v>1</x:v>
      </x:c>
      <x:c r="AL37" s="43" t="inlineStr">
        <x:is>
          <x:t xml:space="preserve">Неизвестно</x:t>
        </x:is>
      </x:c>
      <x:c r="AM37" s="60" t="n">
        <x:v>1</x:v>
      </x:c>
      <x:c r="AN37" s="43" t="inlineStr">
        <x:is>
          <x:t xml:space="preserve">1 месяц</x:t>
        </x:is>
      </x:c>
      <x:c r="AO37" s="60" t="n">
        <x:v>1</x:v>
      </x:c>
      <x:c r="AP37" s="43" t="inlineStr">
        <x:is>
          <x:t xml:space="preserve">Стандартный</x:t>
        </x:is>
      </x:c>
      <x:c r="AQ37" s="60" t="n">
        <x:v>1</x:v>
      </x:c>
      <x:c r="AR37" s="43" t="inlineStr">
        <x:is>
          <x:t xml:space="preserve">Да, 2 лицензии</x:t>
        </x:is>
      </x:c>
      <x:c r="AS37" s="60" t="n">
        <x:v>2</x:v>
      </x:c>
      <x:c r="AT37" s="43" t="n"/>
      <x:c r="AU37" s="60" t="n"/>
      <x:c r="AV37" s="43" t="inlineStr">
        <x:is>
          <x:t xml:space="preserve">Да, 2 лицензии</x:t>
        </x:is>
      </x:c>
      <x:c r="AW37" s="60" t="n">
        <x:v>2</x:v>
      </x:c>
      <x:c r="AX37" s="43" t="n"/>
      <x:c r="AY37" s="60" t="n"/>
      <x:c r="AZ37" s="43" t="n"/>
      <x:c r="BA37" s="60" t="n"/>
      <x:c r="BB37" s="43" t="n"/>
      <x:c r="BC37" s="60" t="n"/>
      <x:c r="BD37" s="43" t="n"/>
      <x:c r="BE37" s="60" t="n"/>
      <x:c r="BF37" s="43" t="inlineStr">
        <x:is>
          <x:t xml:space="preserve">Скидка 10%</x:t>
        </x:is>
      </x:c>
      <x:c r="BG37" s="60" t="n">
        <x:v>-10</x:v>
      </x:c>
    </x:row>
    <x:row r="38" s="1" customFormat="1" ht="31.5" customHeight="1">
      <x:c r="A38" s="2" t="n"/>
      <x:c r="J38" s="43" t="inlineStr">
        <x:is>
          <x:t xml:space="preserve">Есть детализированное ТЗ</x:t>
        </x:is>
      </x:c>
      <x:c r="K38" s="60" t="n">
        <x:v>1</x:v>
      </x:c>
      <x:c r="L38" s="43" t="inlineStr">
        <x:is>
          <x:t xml:space="preserve">Требуется подготовка ЧТЗ и иных документов для начала работы</x:t>
        </x:is>
      </x:c>
      <x:c r="M38" s="60" t="n">
        <x:v>1</x:v>
      </x:c>
      <x:c r="N38" s="43" t="inlineStr">
        <x:is>
          <x:t xml:space="preserve">Много (основные действия робота)</x:t>
        </x:is>
      </x:c>
      <x:c r="O38" s="60" t="n">
        <x:v>1.2</x:v>
      </x:c>
      <x:c r="P38" s="43" t="inlineStr">
        <x:is>
          <x:t xml:space="preserve">Много (основные действия робота)</x:t>
        </x:is>
      </x:c>
      <x:c r="Q38" s="60" t="n">
        <x:v>1.2</x:v>
      </x:c>
      <x:c r="R38" s="43" t="inlineStr">
        <x:is>
          <x:t xml:space="preserve">Много (основные действия робота)</x:t>
        </x:is>
      </x:c>
      <x:c r="S38" s="60" t="n">
        <x:v>1.2</x:v>
      </x:c>
      <x:c r="T38" s="43" t="inlineStr">
        <x:is>
          <x:t xml:space="preserve">Много (основные действия робота)</x:t>
        </x:is>
      </x:c>
      <x:c r="U38" s="60" t="n">
        <x:v>1.2</x:v>
      </x:c>
      <x:c r="V38" s="43" t="inlineStr">
        <x:is>
          <x:t xml:space="preserve">Много (основные действия робота)</x:t>
        </x:is>
      </x:c>
      <x:c r="W38" s="60" t="n">
        <x:v>1.2</x:v>
      </x:c>
      <x:c r="X38" s="43" t="inlineStr">
        <x:is>
          <x:t xml:space="preserve">Неизвестно</x:t>
        </x:is>
      </x:c>
      <x:c r="Y38" s="60" t="n">
        <x:v>1</x:v>
      </x:c>
      <x:c r="Z38" s="43" t="inlineStr">
        <x:is>
          <x:t xml:space="preserve">Неизвестно</x:t>
        </x:is>
      </x:c>
      <x:c r="AA38" s="60" t="n">
        <x:v>1</x:v>
      </x:c>
      <x:c r="AB38" s="43" t="inlineStr">
        <x:is>
          <x:t xml:space="preserve">Неизвестно</x:t>
        </x:is>
      </x:c>
      <x:c r="AC38" s="60" t="n">
        <x:v>1</x:v>
      </x:c>
      <x:c r="AD38" s="43" t="inlineStr">
        <x:is>
          <x:t xml:space="preserve">Неизвестно</x:t>
        </x:is>
      </x:c>
      <x:c r="AE38" s="60" t="n">
        <x:v>1</x:v>
      </x:c>
      <x:c r="AF38" s="43" t="n"/>
      <x:c r="AG38" s="60" t="n">
        <x:v>1</x:v>
      </x:c>
      <x:c r="AH38" s="43" t="n"/>
      <x:c r="AI38" s="60" t="n"/>
      <x:c r="AJ38" s="43" t="n"/>
      <x:c r="AK38" s="60" t="n"/>
      <x:c r="AL38" s="43" t="n"/>
      <x:c r="AM38" s="60" t="n"/>
      <x:c r="AN38" s="43" t="inlineStr">
        <x:is>
          <x:t xml:space="preserve">1 год</x:t>
        </x:is>
      </x:c>
      <x:c r="AO38" s="60" t="n">
        <x:v>10</x:v>
      </x:c>
      <x:c r="AP38" s="43" t="inlineStr">
        <x:is>
          <x:t xml:space="preserve">Полный</x:t>
        </x:is>
      </x:c>
      <x:c r="AQ38" s="60" t="n">
        <x:v>3</x:v>
      </x:c>
      <x:c r="AR38" s="43" t="inlineStr">
        <x:is>
          <x:t xml:space="preserve">Да, 3 лицензии</x:t>
        </x:is>
      </x:c>
      <x:c r="AS38" s="60" t="n">
        <x:v>3</x:v>
      </x:c>
      <x:c r="AT38" s="43" t="n"/>
      <x:c r="AU38" s="60" t="n"/>
      <x:c r="AV38" s="43" t="inlineStr">
        <x:is>
          <x:t xml:space="preserve">Да, 3 лицензии</x:t>
        </x:is>
      </x:c>
      <x:c r="AW38" s="60" t="n">
        <x:v>3</x:v>
      </x:c>
      <x:c r="AX38" s="43" t="n"/>
      <x:c r="AY38" s="60" t="n"/>
      <x:c r="AZ38" s="43" t="n"/>
      <x:c r="BA38" s="60" t="n"/>
      <x:c r="BB38" s="43" t="n"/>
      <x:c r="BC38" s="60" t="n"/>
      <x:c r="BD38" s="43" t="n"/>
      <x:c r="BE38" s="60" t="n"/>
      <x:c r="BF38" s="43" t="inlineStr">
        <x:is>
          <x:t xml:space="preserve">Скидка 15%</x:t>
        </x:is>
      </x:c>
      <x:c r="BG38" s="60" t="n">
        <x:v>-15</x:v>
      </x:c>
    </x:row>
    <x:row r="39" s="1" customFormat="1" ht="31.5" customHeight="1">
      <x:c r="A39" s="2" t="n"/>
      <x:c r="J39" s="43" t="inlineStr">
        <x:is>
          <x:t xml:space="preserve">Заказчик может описать процесс для роботизации на словах</x:t>
        </x:is>
      </x:c>
      <x:c r="K39" s="60" t="n">
        <x:v>1.2</x:v>
      </x:c>
      <x:c r="L39" s="43" t="inlineStr">
        <x:is>
          <x:t xml:space="preserve">Существенный объем конкурсной или иной подготовительной документации</x:t>
        </x:is>
      </x:c>
      <x:c r="M39" s="60" t="n">
        <x:v>2.2</x:v>
      </x:c>
      <x:c r="N39" s="43" t="inlineStr">
        <x:is>
          <x:t xml:space="preserve">Неизвестно</x:t>
        </x:is>
      </x:c>
      <x:c r="O39" s="60" t="n">
        <x:v>1.2</x:v>
      </x:c>
      <x:c r="P39" s="43" t="inlineStr">
        <x:is>
          <x:t xml:space="preserve">Неизвестно</x:t>
        </x:is>
      </x:c>
      <x:c r="Q39" s="60" t="n">
        <x:v>1.2</x:v>
      </x:c>
      <x:c r="R39" s="43" t="inlineStr">
        <x:is>
          <x:t xml:space="preserve">Неизвестно</x:t>
        </x:is>
      </x:c>
      <x:c r="S39" s="60" t="n">
        <x:v>1.2</x:v>
      </x:c>
      <x:c r="T39" s="43" t="inlineStr">
        <x:is>
          <x:t xml:space="preserve">Неизвестно</x:t>
        </x:is>
      </x:c>
      <x:c r="U39" s="60" t="n">
        <x:v>1.2</x:v>
      </x:c>
      <x:c r="V39" s="43" t="inlineStr">
        <x:is>
          <x:t xml:space="preserve">Неизвестно</x:t>
        </x:is>
      </x:c>
      <x:c r="W39" s="60" t="n">
        <x:v>1.2</x:v>
      </x:c>
      <x:c r="X39" s="43" t="n"/>
      <x:c r="Y39" s="60" t="n"/>
      <x:c r="Z39" s="43" t="n"/>
      <x:c r="AA39" s="60" t="n"/>
      <x:c r="AB39" s="43" t="n"/>
      <x:c r="AC39" s="60" t="n"/>
      <x:c r="AD39" s="43" t="n"/>
      <x:c r="AE39" s="60" t="n"/>
      <x:c r="AF39" s="43" t="n"/>
      <x:c r="AG39" s="60" t="n"/>
      <x:c r="AH39" s="43" t="n"/>
      <x:c r="AI39" s="60" t="n"/>
      <x:c r="AJ39" s="43" t="n"/>
      <x:c r="AK39" s="60" t="n"/>
      <x:c r="AL39" s="43" t="n"/>
      <x:c r="AM39" s="60" t="n"/>
      <x:c r="AN39" s="43" t="n"/>
      <x:c r="AO39" s="60" t="n"/>
      <x:c r="AP39" s="43" t="inlineStr">
        <x:is>
          <x:t xml:space="preserve">Безлимитный</x:t>
        </x:is>
      </x:c>
      <x:c r="AQ39" s="60" t="n">
        <x:v>6</x:v>
      </x:c>
      <x:c r="AR39" s="43" t="inlineStr">
        <x:is>
          <x:t xml:space="preserve">Да, 4 лицензии</x:t>
        </x:is>
      </x:c>
      <x:c r="AS39" s="60" t="n">
        <x:v>4</x:v>
      </x:c>
      <x:c r="AT39" s="43" t="n"/>
      <x:c r="AU39" s="60" t="n"/>
      <x:c r="AV39" s="43" t="inlineStr">
        <x:is>
          <x:t xml:space="preserve">Да, 4 лицензии</x:t>
        </x:is>
      </x:c>
      <x:c r="AW39" s="60" t="n">
        <x:v>4</x:v>
      </x:c>
      <x:c r="AX39" s="43" t="n"/>
      <x:c r="AY39" s="60" t="n"/>
      <x:c r="AZ39" s="43" t="n"/>
      <x:c r="BA39" s="60" t="n"/>
      <x:c r="BB39" s="43" t="n"/>
      <x:c r="BC39" s="60" t="n"/>
      <x:c r="BD39" s="43" t="n"/>
      <x:c r="BE39" s="60" t="n"/>
      <x:c r="BF39" s="43" t="inlineStr">
        <x:is>
          <x:t xml:space="preserve">Наценка 5%</x:t>
        </x:is>
      </x:c>
      <x:c r="BG39" s="60" t="n">
        <x:v>5</x:v>
      </x:c>
    </x:row>
    <x:row r="40" s="1" customFormat="1" ht="31.5" customHeight="1">
      <x:c r="A40" s="2" t="n"/>
      <x:c r="J40" s="43" t="inlineStr">
        <x:is>
          <x:t xml:space="preserve">У заказчика слабое понимание задач и процессов роботизации</x:t>
        </x:is>
      </x:c>
      <x:c r="K40" s="60" t="n">
        <x:v>2.2</x:v>
      </x:c>
      <x:c r="L40" s="43" t="n"/>
      <x:c r="M40" s="60" t="n"/>
      <x:c r="N40" s="43" t="n"/>
      <x:c r="O40" s="60" t="n"/>
      <x:c r="P40" s="43" t="n"/>
      <x:c r="Q40" s="60" t="n"/>
      <x:c r="R40" s="43" t="n"/>
      <x:c r="S40" s="60" t="n"/>
      <x:c r="T40" s="43" t="n"/>
      <x:c r="U40" s="60" t="n"/>
      <x:c r="V40" s="43" t="n"/>
      <x:c r="W40" s="60" t="n"/>
      <x:c r="X40" s="43" t="n"/>
      <x:c r="Y40" s="60" t="n"/>
      <x:c r="Z40" s="43" t="n"/>
      <x:c r="AA40" s="60" t="n"/>
      <x:c r="AB40" s="43" t="n"/>
      <x:c r="AC40" s="60" t="n"/>
      <x:c r="AD40" s="43" t="n"/>
      <x:c r="AE40" s="60" t="n"/>
      <x:c r="AF40" s="43" t="n"/>
      <x:c r="AG40" s="60" t="n"/>
      <x:c r="AH40" s="43" t="n"/>
      <x:c r="AI40" s="60" t="n"/>
      <x:c r="AJ40" s="43" t="n"/>
      <x:c r="AK40" s="60" t="n"/>
      <x:c r="AL40" s="43" t="n"/>
      <x:c r="AM40" s="60" t="n"/>
      <x:c r="AN40" s="43" t="n"/>
      <x:c r="AO40" s="60" t="n"/>
      <x:c r="AP40" s="43" t="n"/>
      <x:c r="AQ40" s="60" t="n"/>
      <x:c r="AR40" s="43" t="inlineStr">
        <x:is>
          <x:t xml:space="preserve">Да, 5 лицензии</x:t>
        </x:is>
      </x:c>
      <x:c r="AS40" s="60" t="n">
        <x:v>5</x:v>
      </x:c>
      <x:c r="AT40" s="43" t="n"/>
      <x:c r="AU40" s="60" t="n"/>
      <x:c r="AV40" s="43" t="inlineStr">
        <x:is>
          <x:t xml:space="preserve">Да, 5 лицензии</x:t>
        </x:is>
      </x:c>
      <x:c r="AW40" s="60" t="n">
        <x:v>5</x:v>
      </x:c>
      <x:c r="AX40" s="43" t="n"/>
      <x:c r="AY40" s="60" t="n"/>
      <x:c r="AZ40" s="43" t="n"/>
      <x:c r="BA40" s="60" t="n"/>
      <x:c r="BB40" s="43" t="n"/>
      <x:c r="BC40" s="60" t="n"/>
      <x:c r="BD40" s="43" t="n"/>
      <x:c r="BE40" s="60" t="n"/>
      <x:c r="BF40" s="43" t="inlineStr">
        <x:is>
          <x:t xml:space="preserve">Наценка 10%</x:t>
        </x:is>
      </x:c>
      <x:c r="BG40" s="60" t="n">
        <x:v>10</x:v>
      </x:c>
    </x:row>
    <x:row r="41" s="1" customFormat="1" ht="15.75" customHeight="1">
      <x:c r="A41" s="2" t="n"/>
      <x:c r="J41" s="43" t="n"/>
      <x:c r="K41" s="60" t="n"/>
      <x:c r="L41" s="43" t="n"/>
      <x:c r="M41" s="60" t="n"/>
      <x:c r="N41" s="43" t="n"/>
      <x:c r="O41" s="60" t="n"/>
      <x:c r="P41" s="43" t="n"/>
      <x:c r="Q41" s="60" t="n"/>
      <x:c r="R41" s="43" t="n"/>
      <x:c r="S41" s="60" t="n"/>
      <x:c r="T41" s="43" t="n"/>
      <x:c r="U41" s="60" t="n"/>
      <x:c r="V41" s="43" t="n"/>
      <x:c r="W41" s="60" t="n"/>
      <x:c r="X41" s="43" t="n"/>
      <x:c r="Y41" s="60" t="n"/>
      <x:c r="Z41" s="43" t="n"/>
      <x:c r="AA41" s="60" t="n"/>
      <x:c r="AB41" s="43" t="n"/>
      <x:c r="AC41" s="60" t="n"/>
      <x:c r="AD41" s="43" t="n"/>
      <x:c r="AE41" s="60" t="n"/>
      <x:c r="AF41" s="43" t="n"/>
      <x:c r="AG41" s="60" t="n"/>
      <x:c r="AH41" s="43" t="n"/>
      <x:c r="AI41" s="60" t="n"/>
      <x:c r="AJ41" s="43" t="n"/>
      <x:c r="AK41" s="60" t="n"/>
      <x:c r="AL41" s="43" t="n"/>
      <x:c r="AM41" s="60" t="n"/>
      <x:c r="AN41" s="43" t="n"/>
      <x:c r="AO41" s="60" t="n"/>
      <x:c r="AP41" s="43" t="n"/>
      <x:c r="AQ41" s="60" t="n"/>
      <x:c r="AR41" s="43" t="n"/>
      <x:c r="AS41" s="60" t="n"/>
      <x:c r="AT41" s="43" t="n"/>
      <x:c r="AU41" s="60" t="n"/>
      <x:c r="AV41" s="43" t="n"/>
      <x:c r="AW41" s="60" t="n"/>
      <x:c r="AX41" s="43" t="n"/>
      <x:c r="AY41" s="60" t="n"/>
      <x:c r="AZ41" s="43" t="n"/>
      <x:c r="BA41" s="60" t="n"/>
      <x:c r="BB41" s="43" t="n"/>
      <x:c r="BC41" s="60" t="n"/>
      <x:c r="BD41" s="43" t="n"/>
      <x:c r="BE41" s="60" t="n"/>
      <x:c r="BF41" s="43" t="inlineStr">
        <x:is>
          <x:t xml:space="preserve">Наценка 15%</x:t>
        </x:is>
      </x:c>
      <x:c r="BG41" s="60" t="n">
        <x:v>15</x:v>
      </x:c>
    </x:row>
    <x:row r="42" s="1" customFormat="1" ht="15.75" customHeight="1">
      <x:c r="A42" s="2" t="n"/>
      <x:c r="J42" s="43" t="n"/>
      <x:c r="K42" s="60" t="n"/>
      <x:c r="L42" s="43" t="n"/>
      <x:c r="M42" s="60" t="n"/>
      <x:c r="N42" s="43" t="n"/>
      <x:c r="O42" s="60" t="n"/>
      <x:c r="P42" s="43" t="n"/>
      <x:c r="Q42" s="60" t="n"/>
      <x:c r="R42" s="43" t="n"/>
      <x:c r="S42" s="60" t="n"/>
      <x:c r="T42" s="43" t="n"/>
      <x:c r="U42" s="60" t="n"/>
      <x:c r="V42" s="43" t="n"/>
      <x:c r="W42" s="60" t="n"/>
      <x:c r="X42" s="43" t="n"/>
      <x:c r="Y42" s="60" t="n"/>
      <x:c r="Z42" s="43" t="n"/>
      <x:c r="AA42" s="60" t="n"/>
      <x:c r="AB42" s="43" t="n"/>
      <x:c r="AC42" s="60" t="n"/>
      <x:c r="AD42" s="43" t="n"/>
      <x:c r="AE42" s="60" t="n"/>
      <x:c r="AF42" s="43" t="n"/>
      <x:c r="AG42" s="60" t="n"/>
      <x:c r="AH42" s="43" t="n"/>
      <x:c r="AI42" s="60" t="n"/>
      <x:c r="AJ42" s="43" t="n"/>
      <x:c r="AK42" s="60" t="n"/>
      <x:c r="AL42" s="43" t="n"/>
      <x:c r="AM42" s="60" t="n"/>
      <x:c r="AN42" s="43" t="n"/>
      <x:c r="AO42" s="60" t="n"/>
      <x:c r="AP42" s="43" t="n"/>
      <x:c r="AQ42" s="60" t="n"/>
      <x:c r="AR42" s="43" t="n"/>
      <x:c r="AS42" s="60" t="n"/>
      <x:c r="AT42" s="43" t="n"/>
      <x:c r="AU42" s="60" t="n"/>
      <x:c r="AV42" s="43" t="n"/>
      <x:c r="AW42" s="60" t="n"/>
      <x:c r="AX42" s="43" t="n"/>
      <x:c r="AY42" s="60" t="n"/>
      <x:c r="AZ42" s="43" t="n"/>
      <x:c r="BA42" s="60" t="n"/>
      <x:c r="BB42" s="43" t="n"/>
      <x:c r="BC42" s="60" t="n"/>
      <x:c r="BD42" s="43" t="n"/>
      <x:c r="BE42" s="60" t="n"/>
      <x:c r="BF42" s="43" t="inlineStr">
        <x:is>
          <x:t xml:space="preserve">Введите значение от -30 до 30</x:t>
        </x:is>
      </x:c>
      <x:c r="BG42" s="60" t="n">
        <x:v>0</x:v>
      </x:c>
    </x:row>
    <x:row r="43" s="1" customFormat="1" ht="17.100000381469727" customHeight="1">
      <x:c r="A43" s="2" t="n"/>
      <x:c r="J43" s="13" t="n"/>
      <x:c r="L43" s="13" t="n"/>
      <x:c r="N43" s="13" t="n"/>
      <x:c r="P43" s="13" t="n"/>
      <x:c r="R43" s="13" t="n"/>
      <x:c r="T43" s="13" t="n"/>
      <x:c r="V43" s="13" t="n"/>
      <x:c r="X43" s="13" t="n"/>
      <x:c r="Z43" s="13" t="n"/>
      <x:c r="AB43" s="13" t="n"/>
      <x:c r="AD43" s="13" t="n"/>
      <x:c r="AF43" s="13" t="n"/>
      <x:c r="AH43" s="13" t="n"/>
      <x:c r="AJ43" s="13" t="n"/>
      <x:c r="AL43" s="13" t="n"/>
      <x:c r="AN43" s="13" t="n"/>
      <x:c r="AP43" s="13" t="n"/>
      <x:c r="AR43" s="13" t="n"/>
      <x:c r="AT43" s="13" t="n"/>
      <x:c r="AV43" s="13" t="n"/>
      <x:c r="AX43" s="13" t="n"/>
      <x:c r="AZ43" s="13" t="n"/>
      <x:c r="BB43" s="13" t="n"/>
      <x:c r="BD43" s="13" t="n"/>
      <x:c r="BF43" s="13" t="n"/>
    </x:row>
    <x:row r="44" s="1" customFormat="1" ht="15.75" customHeight="1">
      <x:c r="A44" s="2" t="n"/>
      <x:c r="J44" s="13" t="n"/>
      <x:c r="L44" s="13" t="n"/>
      <x:c r="N44" s="13" t="n"/>
      <x:c r="P44" s="13" t="n"/>
      <x:c r="R44" s="13" t="n"/>
      <x:c r="T44" s="13" t="n"/>
      <x:c r="V44" s="13" t="n"/>
      <x:c r="X44" s="13" t="n"/>
      <x:c r="Z44" s="13" t="n"/>
      <x:c r="AB44" s="13" t="n"/>
      <x:c r="AD44" s="13" t="n"/>
      <x:c r="AF44" s="13" t="n"/>
      <x:c r="AH44" s="13" t="n"/>
      <x:c r="AJ44" s="13" t="n"/>
      <x:c r="AL44" s="13" t="n"/>
      <x:c r="AN44" s="13" t="n"/>
      <x:c r="AP44" s="13" t="n"/>
      <x:c r="AR44" s="13" t="n"/>
      <x:c r="AT44" s="13" t="n"/>
      <x:c r="AV44" s="13" t="n"/>
      <x:c r="AX44" s="13" t="n"/>
      <x:c r="AZ44" s="13" t="n"/>
      <x:c r="BB44" s="13" t="n"/>
      <x:c r="BD44" s="13" t="n"/>
      <x:c r="BF44" s="13" t="n"/>
    </x:row>
    <x:row r="45" s="1" customFormat="1" ht="15.75" customHeight="1">
      <x:c r="A45" s="2" t="n"/>
      <x:c r="J45" s="13" t="n"/>
      <x:c r="L45" s="13" t="n"/>
      <x:c r="N45" s="13" t="n"/>
      <x:c r="P45" s="13" t="n"/>
      <x:c r="R45" s="13" t="n"/>
      <x:c r="T45" s="13" t="n"/>
      <x:c r="V45" s="13" t="n"/>
      <x:c r="X45" s="13" t="n"/>
      <x:c r="Z45" s="13" t="n"/>
      <x:c r="AB45" s="13" t="n"/>
      <x:c r="AD45" s="13" t="n"/>
      <x:c r="AF45" s="13" t="n"/>
      <x:c r="AH45" s="13" t="n"/>
      <x:c r="AJ45" s="13" t="n"/>
      <x:c r="AL45" s="13" t="n"/>
      <x:c r="AN45" s="13" t="n"/>
      <x:c r="AP45" s="13" t="n"/>
      <x:c r="AR45" s="13" t="n"/>
      <x:c r="AT45" s="13" t="n"/>
      <x:c r="AV45" s="13" t="n"/>
      <x:c r="AX45" s="13" t="n"/>
      <x:c r="AZ45" s="13" t="n"/>
      <x:c r="BB45" s="13" t="n"/>
      <x:c r="BD45" s="13" t="n"/>
      <x:c r="BF45" s="13" t="n"/>
    </x:row>
    <x:row r="46" s="1" customFormat="1" ht="15.75" customHeight="1">
      <x:c r="A46" s="2" t="n"/>
      <x:c r="J46" s="13" t="n"/>
      <x:c r="L46" s="13" t="n"/>
      <x:c r="N46" s="13" t="n"/>
      <x:c r="P46" s="13" t="n"/>
      <x:c r="R46" s="13" t="n"/>
      <x:c r="T46" s="13" t="n"/>
      <x:c r="V46" s="13" t="n"/>
      <x:c r="X46" s="13" t="n"/>
      <x:c r="Z46" s="13" t="n"/>
      <x:c r="AB46" s="13" t="n"/>
      <x:c r="AD46" s="13" t="n"/>
      <x:c r="AF46" s="13" t="n"/>
      <x:c r="AH46" s="13" t="n"/>
      <x:c r="AJ46" s="13" t="n"/>
      <x:c r="AL46" s="13" t="n"/>
      <x:c r="AN46" s="13" t="n"/>
      <x:c r="AP46" s="13" t="n"/>
      <x:c r="AR46" s="13" t="n"/>
      <x:c r="AT46" s="13" t="n"/>
      <x:c r="AV46" s="13" t="n"/>
      <x:c r="AX46" s="13" t="n"/>
      <x:c r="AZ46" s="13" t="n"/>
      <x:c r="BB46" s="13" t="n"/>
      <x:c r="BD46" s="13" t="n"/>
      <x:c r="BF46" s="13" t="n"/>
    </x:row>
    <x:row r="47" s="1" customFormat="1" ht="15.75" customHeight="1">
      <x:c r="A47" s="2" t="n"/>
      <x:c r="J47" s="13" t="n"/>
      <x:c r="L47" s="13" t="n"/>
      <x:c r="N47" s="13" t="n"/>
      <x:c r="P47" s="13" t="n"/>
      <x:c r="R47" s="13" t="n"/>
      <x:c r="T47" s="13" t="n"/>
      <x:c r="V47" s="13" t="n"/>
      <x:c r="X47" s="13" t="n"/>
      <x:c r="Z47" s="13" t="n"/>
      <x:c r="AB47" s="13" t="n"/>
      <x:c r="AD47" s="13" t="n"/>
      <x:c r="AF47" s="13" t="n"/>
      <x:c r="AH47" s="13" t="n"/>
      <x:c r="AJ47" s="13" t="n"/>
      <x:c r="AL47" s="13" t="n"/>
      <x:c r="AN47" s="13" t="n"/>
      <x:c r="AP47" s="13" t="n"/>
      <x:c r="AR47" s="13" t="n"/>
      <x:c r="AT47" s="13" t="n"/>
      <x:c r="AV47" s="13" t="n"/>
      <x:c r="AX47" s="13" t="n"/>
      <x:c r="AZ47" s="13" t="n"/>
      <x:c r="BB47" s="13" t="n"/>
      <x:c r="BD47" s="13" t="n"/>
      <x:c r="BF47" s="13" t="n"/>
    </x:row>
    <x:row r="48" s="1" customFormat="1" ht="15.75" customHeight="1">
      <x:c r="A48" s="2" t="n"/>
      <x:c r="J48" s="13" t="n"/>
      <x:c r="L48" s="13" t="n"/>
      <x:c r="N48" s="13" t="n"/>
      <x:c r="P48" s="13" t="n"/>
      <x:c r="R48" s="13" t="n"/>
      <x:c r="T48" s="13" t="n"/>
      <x:c r="V48" s="13" t="n"/>
      <x:c r="X48" s="13" t="n"/>
      <x:c r="Z48" s="13" t="n"/>
      <x:c r="AB48" s="13" t="n"/>
      <x:c r="AD48" s="13" t="n"/>
      <x:c r="AF48" s="13" t="n"/>
      <x:c r="AH48" s="13" t="n"/>
      <x:c r="AJ48" s="13" t="n"/>
      <x:c r="AL48" s="13" t="n"/>
      <x:c r="AN48" s="13" t="n"/>
      <x:c r="AP48" s="13" t="n"/>
      <x:c r="AR48" s="13" t="n"/>
      <x:c r="AT48" s="13" t="n"/>
      <x:c r="AV48" s="13" t="n"/>
      <x:c r="AX48" s="13" t="n"/>
      <x:c r="AZ48" s="13" t="n"/>
      <x:c r="BB48" s="13" t="n"/>
      <x:c r="BD48" s="13" t="n"/>
      <x:c r="BF48" s="13" t="n"/>
    </x:row>
    <x:row r="49" s="1" customFormat="1" ht="15.75" customHeight="1">
      <x:c r="A49" s="2" t="n"/>
      <x:c r="J49" s="13" t="n"/>
      <x:c r="L49" s="13" t="n"/>
      <x:c r="N49" s="13" t="n"/>
      <x:c r="P49" s="13" t="n"/>
      <x:c r="R49" s="13" t="n"/>
      <x:c r="T49" s="13" t="n"/>
      <x:c r="V49" s="13" t="n"/>
      <x:c r="X49" s="13" t="n"/>
      <x:c r="Z49" s="13" t="n"/>
      <x:c r="AB49" s="13" t="n"/>
      <x:c r="AD49" s="13" t="n"/>
      <x:c r="AF49" s="13" t="n"/>
      <x:c r="AH49" s="13" t="n"/>
      <x:c r="AJ49" s="13" t="n"/>
      <x:c r="AL49" s="13" t="n"/>
      <x:c r="AN49" s="13" t="n"/>
      <x:c r="AP49" s="13" t="n"/>
      <x:c r="AR49" s="13" t="n"/>
      <x:c r="AT49" s="13" t="n"/>
      <x:c r="AV49" s="13" t="n"/>
      <x:c r="AX49" s="13" t="n"/>
      <x:c r="AZ49" s="13" t="n"/>
      <x:c r="BB49" s="13" t="n"/>
      <x:c r="BD49" s="13" t="n"/>
      <x:c r="BF49" s="13" t="n"/>
    </x:row>
    <x:row r="50" s="1" customFormat="1" ht="15.75" customHeight="1">
      <x:c r="A50" s="2" t="n"/>
      <x:c r="J50" s="13" t="n"/>
      <x:c r="L50" s="13" t="n"/>
      <x:c r="N50" s="13" t="n"/>
      <x:c r="P50" s="13" t="n"/>
      <x:c r="R50" s="13" t="n"/>
      <x:c r="T50" s="13" t="n"/>
      <x:c r="V50" s="13" t="n"/>
      <x:c r="X50" s="13" t="n"/>
      <x:c r="Z50" s="13" t="n"/>
      <x:c r="AB50" s="13" t="n"/>
      <x:c r="AD50" s="13" t="n"/>
      <x:c r="AF50" s="13" t="n"/>
      <x:c r="AH50" s="13" t="n"/>
      <x:c r="AJ50" s="13" t="n"/>
      <x:c r="AL50" s="13" t="n"/>
      <x:c r="AN50" s="13" t="n"/>
      <x:c r="AP50" s="13" t="n"/>
      <x:c r="AR50" s="13" t="n"/>
      <x:c r="AT50" s="13" t="n"/>
      <x:c r="AV50" s="13" t="n"/>
      <x:c r="AX50" s="13" t="n"/>
      <x:c r="AZ50" s="13" t="n"/>
      <x:c r="BB50" s="13" t="n"/>
      <x:c r="BD50" s="13" t="n"/>
      <x:c r="BF50" s="13" t="n"/>
    </x:row>
    <x:row r="51" s="1" customFormat="1" ht="15.75" customHeight="1">
      <x:c r="A51" s="2" t="n"/>
      <x:c r="J51" s="13" t="n"/>
      <x:c r="L51" s="13" t="n"/>
      <x:c r="N51" s="13" t="n"/>
      <x:c r="P51" s="13" t="n"/>
      <x:c r="R51" s="13" t="n"/>
      <x:c r="T51" s="13" t="n"/>
      <x:c r="V51" s="13" t="n"/>
      <x:c r="X51" s="13" t="n"/>
      <x:c r="Z51" s="13" t="n"/>
      <x:c r="AB51" s="13" t="n"/>
      <x:c r="AD51" s="13" t="n"/>
      <x:c r="AF51" s="13" t="n"/>
      <x:c r="AH51" s="13" t="n"/>
      <x:c r="AJ51" s="13" t="n"/>
      <x:c r="AL51" s="13" t="n"/>
      <x:c r="AN51" s="13" t="n"/>
      <x:c r="AP51" s="13" t="n"/>
      <x:c r="AR51" s="13" t="n"/>
      <x:c r="AT51" s="13" t="n"/>
      <x:c r="AV51" s="13" t="n"/>
      <x:c r="AX51" s="13" t="n"/>
      <x:c r="AZ51" s="13" t="n"/>
      <x:c r="BB51" s="13" t="n"/>
      <x:c r="BD51" s="13" t="n"/>
      <x:c r="BF51" s="13" t="n"/>
    </x:row>
    <x:row r="52" s="1" customFormat="1" ht="15.75" customHeight="1">
      <x:c r="A52" s="2" t="n"/>
      <x:c r="J52" s="13" t="n"/>
      <x:c r="L52" s="13" t="n"/>
      <x:c r="N52" s="13" t="n"/>
      <x:c r="P52" s="13" t="n"/>
      <x:c r="R52" s="13" t="n"/>
      <x:c r="T52" s="13" t="n"/>
      <x:c r="V52" s="13" t="n"/>
      <x:c r="X52" s="13" t="n"/>
      <x:c r="Z52" s="13" t="n"/>
      <x:c r="AB52" s="13" t="n"/>
      <x:c r="AD52" s="13" t="n"/>
      <x:c r="AF52" s="13" t="n"/>
      <x:c r="AH52" s="13" t="n"/>
      <x:c r="AJ52" s="13" t="n"/>
      <x:c r="AL52" s="13" t="n"/>
      <x:c r="AN52" s="13" t="n"/>
      <x:c r="AP52" s="13" t="n"/>
      <x:c r="AR52" s="13" t="n"/>
      <x:c r="AT52" s="13" t="n"/>
      <x:c r="AV52" s="13" t="n"/>
      <x:c r="AX52" s="13" t="n"/>
      <x:c r="AZ52" s="13" t="n"/>
      <x:c r="BB52" s="13" t="n"/>
      <x:c r="BD52" s="13" t="n"/>
      <x:c r="BF52" s="13" t="n"/>
    </x:row>
    <x:row r="53" s="1" customFormat="1" ht="15.75" customHeight="1">
      <x:c r="A53" s="2" t="n"/>
      <x:c r="J53" s="13" t="n"/>
      <x:c r="L53" s="13" t="n"/>
      <x:c r="N53" s="13" t="n"/>
      <x:c r="P53" s="13" t="n"/>
      <x:c r="R53" s="13" t="n"/>
      <x:c r="T53" s="13" t="n"/>
      <x:c r="V53" s="13" t="n"/>
      <x:c r="X53" s="13" t="n"/>
      <x:c r="Z53" s="13" t="n"/>
      <x:c r="AB53" s="13" t="n"/>
      <x:c r="AD53" s="13" t="n"/>
      <x:c r="AF53" s="13" t="n"/>
      <x:c r="AH53" s="13" t="n"/>
      <x:c r="AJ53" s="13" t="n"/>
      <x:c r="AL53" s="13" t="n"/>
      <x:c r="AN53" s="13" t="n"/>
      <x:c r="AP53" s="13" t="n"/>
      <x:c r="AR53" s="13" t="n"/>
      <x:c r="AT53" s="13" t="n"/>
      <x:c r="AV53" s="13" t="n"/>
      <x:c r="AX53" s="13" t="n"/>
      <x:c r="AZ53" s="13" t="n"/>
      <x:c r="BB53" s="13" t="n"/>
      <x:c r="BD53" s="13" t="n"/>
      <x:c r="BF53" s="13" t="n"/>
    </x:row>
    <x:row r="54" s="1" customFormat="1" ht="15.75" customHeight="1">
      <x:c r="A54" s="2" t="n"/>
      <x:c r="J54" s="13" t="n"/>
      <x:c r="L54" s="13" t="n"/>
      <x:c r="N54" s="13" t="n"/>
      <x:c r="P54" s="13" t="n"/>
      <x:c r="R54" s="13" t="n"/>
      <x:c r="T54" s="13" t="n"/>
      <x:c r="V54" s="13" t="n"/>
      <x:c r="X54" s="13" t="n"/>
      <x:c r="Z54" s="13" t="n"/>
      <x:c r="AB54" s="13" t="n"/>
      <x:c r="AD54" s="13" t="n"/>
      <x:c r="AF54" s="13" t="n"/>
      <x:c r="AH54" s="13" t="n"/>
      <x:c r="AJ54" s="13" t="n"/>
      <x:c r="AL54" s="13" t="n"/>
      <x:c r="AN54" s="13" t="n"/>
      <x:c r="AP54" s="13" t="n"/>
      <x:c r="AR54" s="13" t="n"/>
      <x:c r="AT54" s="13" t="n"/>
      <x:c r="AV54" s="13" t="n"/>
      <x:c r="AX54" s="13" t="n"/>
      <x:c r="AZ54" s="13" t="n"/>
      <x:c r="BB54" s="13" t="n"/>
      <x:c r="BD54" s="13" t="n"/>
      <x:c r="BF54" s="13" t="n"/>
    </x:row>
    <x:row r="55" s="1" customFormat="1" ht="15.75" customHeight="1">
      <x:c r="A55" s="2" t="n"/>
      <x:c r="J55" s="13" t="n"/>
      <x:c r="L55" s="13" t="n"/>
      <x:c r="N55" s="13" t="n"/>
      <x:c r="P55" s="13" t="n"/>
      <x:c r="R55" s="13" t="n"/>
      <x:c r="T55" s="13" t="n"/>
      <x:c r="V55" s="13" t="n"/>
      <x:c r="X55" s="13" t="n"/>
      <x:c r="Z55" s="13" t="n"/>
      <x:c r="AB55" s="13" t="n"/>
      <x:c r="AD55" s="13" t="n"/>
      <x:c r="AF55" s="13" t="n"/>
      <x:c r="AH55" s="13" t="n"/>
      <x:c r="AJ55" s="13" t="n"/>
      <x:c r="AL55" s="13" t="n"/>
      <x:c r="AN55" s="13" t="n"/>
      <x:c r="AP55" s="13" t="n"/>
      <x:c r="AR55" s="13" t="n"/>
      <x:c r="AT55" s="13" t="n"/>
      <x:c r="AV55" s="13" t="n"/>
      <x:c r="AX55" s="13" t="n"/>
      <x:c r="AZ55" s="13" t="n"/>
      <x:c r="BB55" s="13" t="n"/>
      <x:c r="BD55" s="13" t="n"/>
      <x:c r="BF55" s="13" t="n"/>
    </x:row>
    <x:row r="56" s="1" customFormat="1" ht="15.75" customHeight="1">
      <x:c r="A56" s="2" t="n"/>
      <x:c r="J56" s="13" t="n"/>
      <x:c r="L56" s="13" t="n"/>
      <x:c r="N56" s="13" t="n"/>
      <x:c r="P56" s="13" t="n"/>
      <x:c r="R56" s="13" t="n"/>
      <x:c r="T56" s="13" t="n"/>
      <x:c r="V56" s="13" t="n"/>
      <x:c r="X56" s="13" t="n"/>
      <x:c r="Z56" s="13" t="n"/>
      <x:c r="AB56" s="13" t="n"/>
      <x:c r="AD56" s="13" t="n"/>
      <x:c r="AF56" s="13" t="n"/>
      <x:c r="AH56" s="13" t="n"/>
      <x:c r="AJ56" s="13" t="n"/>
      <x:c r="AL56" s="13" t="n"/>
      <x:c r="AN56" s="13" t="n"/>
      <x:c r="AP56" s="13" t="n"/>
      <x:c r="AR56" s="13" t="n"/>
      <x:c r="AT56" s="13" t="n"/>
      <x:c r="AV56" s="13" t="n"/>
      <x:c r="AX56" s="13" t="n"/>
      <x:c r="AZ56" s="13" t="n"/>
      <x:c r="BB56" s="13" t="n"/>
      <x:c r="BD56" s="13" t="n"/>
      <x:c r="BF56" s="13" t="n"/>
    </x:row>
    <x:row r="57" s="1" customFormat="1" ht="15.75" customHeight="1">
      <x:c r="A57" s="2" t="n"/>
      <x:c r="J57" s="13" t="n"/>
      <x:c r="L57" s="13" t="n"/>
      <x:c r="N57" s="13" t="n"/>
      <x:c r="P57" s="13" t="n"/>
      <x:c r="R57" s="13" t="n"/>
      <x:c r="T57" s="13" t="n"/>
      <x:c r="V57" s="13" t="n"/>
      <x:c r="X57" s="13" t="n"/>
      <x:c r="Z57" s="13" t="n"/>
      <x:c r="AB57" s="13" t="n"/>
      <x:c r="AD57" s="13" t="n"/>
      <x:c r="AF57" s="13" t="n"/>
      <x:c r="AH57" s="13" t="n"/>
      <x:c r="AJ57" s="13" t="n"/>
      <x:c r="AL57" s="13" t="n"/>
      <x:c r="AN57" s="13" t="n"/>
      <x:c r="AP57" s="13" t="n"/>
      <x:c r="AR57" s="13" t="n"/>
      <x:c r="AT57" s="13" t="n"/>
      <x:c r="AV57" s="13" t="n"/>
      <x:c r="AX57" s="13" t="n"/>
      <x:c r="AZ57" s="13" t="n"/>
      <x:c r="BB57" s="13" t="n"/>
      <x:c r="BD57" s="13" t="n"/>
      <x:c r="BF57" s="13" t="n"/>
    </x:row>
    <x:row r="58" s="1" customFormat="1" ht="15.75" customHeight="1">
      <x:c r="A58" s="2" t="n"/>
      <x:c r="J58" s="13" t="n"/>
      <x:c r="L58" s="13" t="n"/>
      <x:c r="N58" s="13" t="n"/>
      <x:c r="P58" s="13" t="n"/>
      <x:c r="R58" s="13" t="n"/>
      <x:c r="T58" s="13" t="n"/>
      <x:c r="V58" s="13" t="n"/>
      <x:c r="X58" s="13" t="n"/>
      <x:c r="Z58" s="13" t="n"/>
      <x:c r="AB58" s="13" t="n"/>
      <x:c r="AD58" s="13" t="n"/>
      <x:c r="AF58" s="13" t="n"/>
      <x:c r="AH58" s="13" t="n"/>
      <x:c r="AJ58" s="13" t="n"/>
      <x:c r="AL58" s="13" t="n"/>
      <x:c r="AN58" s="13" t="n"/>
      <x:c r="AP58" s="13" t="n"/>
      <x:c r="AR58" s="13" t="n"/>
      <x:c r="AT58" s="13" t="n"/>
      <x:c r="AV58" s="13" t="n"/>
      <x:c r="AX58" s="13" t="n"/>
      <x:c r="AZ58" s="13" t="n"/>
      <x:c r="BB58" s="13" t="n"/>
      <x:c r="BD58" s="13" t="n"/>
      <x:c r="BF58" s="13" t="n"/>
    </x:row>
    <x:row r="59" s="1" customFormat="1" ht="15.75" customHeight="1">
      <x:c r="A59" s="2" t="n"/>
      <x:c r="J59" s="13" t="n"/>
      <x:c r="L59" s="13" t="n"/>
      <x:c r="N59" s="13" t="n"/>
      <x:c r="P59" s="13" t="n"/>
      <x:c r="R59" s="13" t="n"/>
      <x:c r="T59" s="13" t="n"/>
      <x:c r="V59" s="13" t="n"/>
      <x:c r="X59" s="13" t="n"/>
      <x:c r="Z59" s="13" t="n"/>
      <x:c r="AB59" s="13" t="n"/>
      <x:c r="AD59" s="13" t="n"/>
      <x:c r="AF59" s="13" t="n"/>
      <x:c r="AH59" s="13" t="n"/>
      <x:c r="AJ59" s="13" t="n"/>
      <x:c r="AL59" s="13" t="n"/>
      <x:c r="AN59" s="13" t="n"/>
      <x:c r="AP59" s="13" t="n"/>
      <x:c r="AR59" s="13" t="n"/>
      <x:c r="AT59" s="13" t="n"/>
      <x:c r="AV59" s="13" t="n"/>
      <x:c r="AX59" s="13" t="n"/>
      <x:c r="AZ59" s="13" t="n"/>
      <x:c r="BB59" s="13" t="n"/>
      <x:c r="BD59" s="13" t="n"/>
      <x:c r="BF59" s="13" t="n"/>
    </x:row>
    <x:row r="60" s="1" customFormat="1" ht="15.75" customHeight="1">
      <x:c r="A60" s="2" t="n"/>
      <x:c r="J60" s="13" t="n"/>
      <x:c r="L60" s="13" t="n"/>
      <x:c r="N60" s="13" t="n"/>
      <x:c r="P60" s="13" t="n"/>
      <x:c r="R60" s="13" t="n"/>
      <x:c r="T60" s="13" t="n"/>
      <x:c r="V60" s="13" t="n"/>
      <x:c r="X60" s="13" t="n"/>
      <x:c r="Z60" s="13" t="n"/>
      <x:c r="AB60" s="13" t="n"/>
      <x:c r="AD60" s="13" t="n"/>
      <x:c r="AF60" s="13" t="n"/>
      <x:c r="AH60" s="13" t="n"/>
      <x:c r="AJ60" s="13" t="n"/>
      <x:c r="AL60" s="13" t="n"/>
      <x:c r="AN60" s="13" t="n"/>
      <x:c r="AP60" s="13" t="n"/>
      <x:c r="AR60" s="13" t="n"/>
      <x:c r="AT60" s="13" t="n"/>
      <x:c r="AV60" s="13" t="n"/>
      <x:c r="AX60" s="13" t="n"/>
      <x:c r="AZ60" s="13" t="n"/>
      <x:c r="BB60" s="13" t="n"/>
      <x:c r="BD60" s="13" t="n"/>
      <x:c r="BF60" s="13" t="n"/>
    </x:row>
    <x:row r="61" s="1" customFormat="1" ht="15.75" customHeight="1">
      <x:c r="A61" s="2" t="n"/>
      <x:c r="J61" s="13" t="n"/>
      <x:c r="L61" s="13" t="n"/>
      <x:c r="N61" s="13" t="n"/>
      <x:c r="P61" s="13" t="n"/>
      <x:c r="R61" s="13" t="n"/>
      <x:c r="T61" s="13" t="n"/>
      <x:c r="V61" s="13" t="n"/>
      <x:c r="X61" s="13" t="n"/>
      <x:c r="Z61" s="13" t="n"/>
      <x:c r="AB61" s="13" t="n"/>
      <x:c r="AD61" s="13" t="n"/>
      <x:c r="AF61" s="13" t="n"/>
      <x:c r="AH61" s="13" t="n"/>
      <x:c r="AJ61" s="13" t="n"/>
      <x:c r="AL61" s="13" t="n"/>
      <x:c r="AN61" s="13" t="n"/>
      <x:c r="AP61" s="13" t="n"/>
      <x:c r="AR61" s="13" t="n"/>
      <x:c r="AT61" s="13" t="n"/>
      <x:c r="AV61" s="13" t="n"/>
      <x:c r="AX61" s="13" t="n"/>
      <x:c r="AZ61" s="13" t="n"/>
      <x:c r="BB61" s="13" t="n"/>
      <x:c r="BD61" s="13" t="n"/>
      <x:c r="BF61" s="13" t="n"/>
    </x:row>
    <x:row r="62" s="1" customFormat="1" ht="15.75" customHeight="1">
      <x:c r="A62" s="2" t="n"/>
      <x:c r="J62" s="13" t="n"/>
      <x:c r="L62" s="13" t="n"/>
      <x:c r="N62" s="13" t="n"/>
      <x:c r="P62" s="13" t="n"/>
      <x:c r="R62" s="13" t="n"/>
      <x:c r="T62" s="13" t="n"/>
      <x:c r="V62" s="13" t="n"/>
      <x:c r="X62" s="13" t="n"/>
      <x:c r="Z62" s="13" t="n"/>
      <x:c r="AB62" s="13" t="n"/>
      <x:c r="AD62" s="13" t="n"/>
      <x:c r="AF62" s="13" t="n"/>
      <x:c r="AH62" s="13" t="n"/>
      <x:c r="AJ62" s="13" t="n"/>
      <x:c r="AL62" s="13" t="n"/>
      <x:c r="AN62" s="13" t="n"/>
      <x:c r="AP62" s="13" t="n"/>
      <x:c r="AR62" s="13" t="n"/>
      <x:c r="AT62" s="13" t="n"/>
      <x:c r="AV62" s="13" t="n"/>
      <x:c r="AX62" s="13" t="n"/>
      <x:c r="AZ62" s="13" t="n"/>
      <x:c r="BB62" s="13" t="n"/>
      <x:c r="BD62" s="13" t="n"/>
      <x:c r="BF62" s="13" t="n"/>
    </x:row>
    <x:row r="63" s="1" customFormat="1" ht="15.75" customHeight="1">
      <x:c r="A63" s="2" t="n"/>
      <x:c r="J63" s="13" t="n"/>
      <x:c r="L63" s="13" t="n"/>
      <x:c r="N63" s="13" t="n"/>
      <x:c r="P63" s="13" t="n"/>
      <x:c r="R63" s="13" t="n"/>
      <x:c r="T63" s="13" t="n"/>
      <x:c r="V63" s="13" t="n"/>
      <x:c r="X63" s="13" t="n"/>
      <x:c r="Z63" s="13" t="n"/>
      <x:c r="AB63" s="13" t="n"/>
      <x:c r="AD63" s="13" t="n"/>
      <x:c r="AF63" s="13" t="n"/>
      <x:c r="AH63" s="13" t="n"/>
      <x:c r="AJ63" s="13" t="n"/>
      <x:c r="AL63" s="13" t="n"/>
      <x:c r="AN63" s="13" t="n"/>
      <x:c r="AP63" s="13" t="n"/>
      <x:c r="AR63" s="13" t="n"/>
      <x:c r="AT63" s="13" t="n"/>
      <x:c r="AV63" s="13" t="n"/>
      <x:c r="AX63" s="13" t="n"/>
      <x:c r="AZ63" s="13" t="n"/>
      <x:c r="BB63" s="13" t="n"/>
      <x:c r="BD63" s="13" t="n"/>
      <x:c r="BF63" s="13" t="n"/>
    </x:row>
    <x:row r="64" s="1" customFormat="1" ht="15.75" customHeight="1">
      <x:c r="A64" s="2" t="n"/>
      <x:c r="J64" s="13" t="n"/>
      <x:c r="L64" s="13" t="n"/>
      <x:c r="N64" s="13" t="n"/>
      <x:c r="P64" s="13" t="n"/>
      <x:c r="R64" s="13" t="n"/>
      <x:c r="T64" s="13" t="n"/>
      <x:c r="V64" s="13" t="n"/>
      <x:c r="X64" s="13" t="n"/>
      <x:c r="Z64" s="13" t="n"/>
      <x:c r="AB64" s="13" t="n"/>
      <x:c r="AD64" s="13" t="n"/>
      <x:c r="AF64" s="13" t="n"/>
      <x:c r="AH64" s="13" t="n"/>
      <x:c r="AJ64" s="13" t="n"/>
      <x:c r="AL64" s="13" t="n"/>
      <x:c r="AN64" s="13" t="n"/>
      <x:c r="AP64" s="13" t="n"/>
      <x:c r="AR64" s="13" t="n"/>
      <x:c r="AT64" s="13" t="n"/>
      <x:c r="AV64" s="13" t="n"/>
      <x:c r="AX64" s="13" t="n"/>
      <x:c r="AZ64" s="13" t="n"/>
      <x:c r="BB64" s="13" t="n"/>
      <x:c r="BD64" s="13" t="n"/>
      <x:c r="BF64" s="13" t="n"/>
    </x:row>
    <x:row r="65" s="1" customFormat="1" ht="15.75" customHeight="1">
      <x:c r="A65" s="2" t="n"/>
      <x:c r="J65" s="13" t="n"/>
      <x:c r="L65" s="13" t="n"/>
      <x:c r="N65" s="13" t="n"/>
      <x:c r="P65" s="13" t="n"/>
      <x:c r="R65" s="13" t="n"/>
      <x:c r="T65" s="13" t="n"/>
      <x:c r="V65" s="13" t="n"/>
      <x:c r="X65" s="13" t="n"/>
      <x:c r="Z65" s="13" t="n"/>
      <x:c r="AB65" s="13" t="n"/>
      <x:c r="AD65" s="13" t="n"/>
      <x:c r="AF65" s="13" t="n"/>
      <x:c r="AH65" s="13" t="n"/>
      <x:c r="AJ65" s="13" t="n"/>
      <x:c r="AL65" s="13" t="n"/>
      <x:c r="AN65" s="13" t="n"/>
      <x:c r="AP65" s="13" t="n"/>
      <x:c r="AR65" s="13" t="n"/>
      <x:c r="AT65" s="13" t="n"/>
      <x:c r="AV65" s="13" t="n"/>
      <x:c r="AX65" s="13" t="n"/>
      <x:c r="AZ65" s="13" t="n"/>
      <x:c r="BB65" s="13" t="n"/>
      <x:c r="BD65" s="13" t="n"/>
      <x:c r="BF65" s="13" t="n"/>
    </x:row>
    <x:row r="66" s="1" customFormat="1" ht="15.75" customHeight="1">
      <x:c r="A66" s="2" t="n"/>
      <x:c r="J66" s="13" t="n"/>
      <x:c r="L66" s="13" t="n"/>
      <x:c r="N66" s="13" t="n"/>
      <x:c r="P66" s="13" t="n"/>
      <x:c r="R66" s="13" t="n"/>
      <x:c r="T66" s="13" t="n"/>
      <x:c r="V66" s="13" t="n"/>
      <x:c r="X66" s="13" t="n"/>
      <x:c r="Z66" s="13" t="n"/>
      <x:c r="AB66" s="13" t="n"/>
      <x:c r="AD66" s="13" t="n"/>
      <x:c r="AF66" s="13" t="n"/>
      <x:c r="AH66" s="13" t="n"/>
      <x:c r="AJ66" s="13" t="n"/>
      <x:c r="AL66" s="13" t="n"/>
      <x:c r="AN66" s="13" t="n"/>
      <x:c r="AP66" s="13" t="n"/>
      <x:c r="AR66" s="13" t="n"/>
      <x:c r="AT66" s="13" t="n"/>
      <x:c r="AV66" s="13" t="n"/>
      <x:c r="AX66" s="13" t="n"/>
      <x:c r="AZ66" s="13" t="n"/>
      <x:c r="BB66" s="13" t="n"/>
      <x:c r="BD66" s="13" t="n"/>
      <x:c r="BF66" s="13" t="n"/>
    </x:row>
    <x:row r="67" s="1" customFormat="1" ht="15.75" customHeight="1">
      <x:c r="A67" s="2" t="n"/>
      <x:c r="J67" s="13" t="n"/>
      <x:c r="L67" s="13" t="n"/>
      <x:c r="N67" s="13" t="n"/>
      <x:c r="P67" s="13" t="n"/>
      <x:c r="R67" s="13" t="n"/>
      <x:c r="T67" s="13" t="n"/>
      <x:c r="V67" s="13" t="n"/>
      <x:c r="X67" s="13" t="n"/>
      <x:c r="Z67" s="13" t="n"/>
      <x:c r="AB67" s="13" t="n"/>
      <x:c r="AD67" s="13" t="n"/>
      <x:c r="AF67" s="13" t="n"/>
      <x:c r="AH67" s="13" t="n"/>
      <x:c r="AJ67" s="13" t="n"/>
      <x:c r="AL67" s="13" t="n"/>
      <x:c r="AN67" s="13" t="n"/>
      <x:c r="AP67" s="13" t="n"/>
      <x:c r="AR67" s="13" t="n"/>
      <x:c r="AT67" s="13" t="n"/>
      <x:c r="AV67" s="13" t="n"/>
      <x:c r="AX67" s="13" t="n"/>
      <x:c r="AZ67" s="13" t="n"/>
      <x:c r="BB67" s="13" t="n"/>
      <x:c r="BD67" s="13" t="n"/>
      <x:c r="BF67" s="13" t="n"/>
    </x:row>
    <x:row r="68" s="1" customFormat="1" ht="15.75" customHeight="1">
      <x:c r="A68" s="2" t="n"/>
      <x:c r="J68" s="13" t="n"/>
      <x:c r="L68" s="13" t="n"/>
      <x:c r="N68" s="13" t="n"/>
      <x:c r="P68" s="13" t="n"/>
      <x:c r="R68" s="13" t="n"/>
      <x:c r="T68" s="13" t="n"/>
      <x:c r="V68" s="13" t="n"/>
      <x:c r="X68" s="13" t="n"/>
      <x:c r="Z68" s="13" t="n"/>
      <x:c r="AB68" s="13" t="n"/>
      <x:c r="AD68" s="13" t="n"/>
      <x:c r="AF68" s="13" t="n"/>
      <x:c r="AH68" s="13" t="n"/>
      <x:c r="AJ68" s="13" t="n"/>
      <x:c r="AL68" s="13" t="n"/>
      <x:c r="AN68" s="13" t="n"/>
      <x:c r="AP68" s="13" t="n"/>
      <x:c r="AR68" s="13" t="n"/>
      <x:c r="AT68" s="13" t="n"/>
      <x:c r="AV68" s="13" t="n"/>
      <x:c r="AX68" s="13" t="n"/>
      <x:c r="AZ68" s="13" t="n"/>
      <x:c r="BB68" s="13" t="n"/>
      <x:c r="BD68" s="13" t="n"/>
      <x:c r="BF68" s="13" t="n"/>
    </x:row>
    <x:row r="69" s="1" customFormat="1" ht="15.75" customHeight="1">
      <x:c r="A69" s="2" t="n"/>
      <x:c r="J69" s="13" t="n"/>
      <x:c r="L69" s="13" t="n"/>
      <x:c r="N69" s="13" t="n"/>
      <x:c r="P69" s="13" t="n"/>
      <x:c r="R69" s="13" t="n"/>
      <x:c r="T69" s="13" t="n"/>
      <x:c r="V69" s="13" t="n"/>
      <x:c r="X69" s="13" t="n"/>
      <x:c r="Z69" s="13" t="n"/>
      <x:c r="AB69" s="13" t="n"/>
      <x:c r="AD69" s="13" t="n"/>
      <x:c r="AF69" s="13" t="n"/>
      <x:c r="AH69" s="13" t="n"/>
      <x:c r="AJ69" s="13" t="n"/>
      <x:c r="AL69" s="13" t="n"/>
      <x:c r="AN69" s="13" t="n"/>
      <x:c r="AP69" s="13" t="n"/>
      <x:c r="AR69" s="13" t="n"/>
      <x:c r="AT69" s="13" t="n"/>
      <x:c r="AV69" s="13" t="n"/>
      <x:c r="AX69" s="13" t="n"/>
      <x:c r="AZ69" s="13" t="n"/>
      <x:c r="BB69" s="13" t="n"/>
      <x:c r="BD69" s="13" t="n"/>
      <x:c r="BF69" s="13" t="n"/>
    </x:row>
    <x:row r="70" s="1" customFormat="1" ht="15.75" customHeight="1">
      <x:c r="A70" s="2" t="n"/>
      <x:c r="J70" s="13" t="n"/>
      <x:c r="L70" s="13" t="n"/>
      <x:c r="N70" s="13" t="n"/>
      <x:c r="P70" s="13" t="n"/>
      <x:c r="R70" s="13" t="n"/>
      <x:c r="T70" s="13" t="n"/>
      <x:c r="V70" s="13" t="n"/>
      <x:c r="X70" s="13" t="n"/>
      <x:c r="Z70" s="13" t="n"/>
      <x:c r="AB70" s="13" t="n"/>
      <x:c r="AD70" s="13" t="n"/>
      <x:c r="AF70" s="13" t="n"/>
      <x:c r="AH70" s="13" t="n"/>
      <x:c r="AJ70" s="13" t="n"/>
      <x:c r="AL70" s="13" t="n"/>
      <x:c r="AN70" s="13" t="n"/>
      <x:c r="AP70" s="13" t="n"/>
      <x:c r="AR70" s="13" t="n"/>
      <x:c r="AT70" s="13" t="n"/>
      <x:c r="AV70" s="13" t="n"/>
      <x:c r="AX70" s="13" t="n"/>
      <x:c r="AZ70" s="13" t="n"/>
      <x:c r="BB70" s="13" t="n"/>
      <x:c r="BD70" s="13" t="n"/>
      <x:c r="BF70" s="13" t="n"/>
    </x:row>
    <x:row r="71" s="1" customFormat="1" ht="15.75" customHeight="1">
      <x:c r="A71" s="2" t="n"/>
      <x:c r="J71" s="13" t="n"/>
      <x:c r="L71" s="13" t="n"/>
      <x:c r="N71" s="13" t="n"/>
      <x:c r="P71" s="13" t="n"/>
      <x:c r="R71" s="13" t="n"/>
      <x:c r="T71" s="13" t="n"/>
      <x:c r="V71" s="13" t="n"/>
      <x:c r="X71" s="13" t="n"/>
      <x:c r="Z71" s="13" t="n"/>
      <x:c r="AB71" s="13" t="n"/>
      <x:c r="AD71" s="13" t="n"/>
      <x:c r="AF71" s="13" t="n"/>
      <x:c r="AH71" s="13" t="n"/>
      <x:c r="AJ71" s="13" t="n"/>
      <x:c r="AL71" s="13" t="n"/>
      <x:c r="AN71" s="13" t="n"/>
      <x:c r="AP71" s="13" t="n"/>
      <x:c r="AR71" s="13" t="n"/>
      <x:c r="AT71" s="13" t="n"/>
      <x:c r="AV71" s="13" t="n"/>
      <x:c r="AX71" s="13" t="n"/>
      <x:c r="AZ71" s="13" t="n"/>
      <x:c r="BB71" s="13" t="n"/>
      <x:c r="BD71" s="13" t="n"/>
      <x:c r="BF71" s="13" t="n"/>
    </x:row>
    <x:row r="72" s="1" customFormat="1" ht="15.75" customHeight="1">
      <x:c r="A72" s="2" t="n"/>
      <x:c r="J72" s="13" t="n"/>
      <x:c r="L72" s="13" t="n"/>
      <x:c r="N72" s="13" t="n"/>
      <x:c r="P72" s="13" t="n"/>
      <x:c r="R72" s="13" t="n"/>
      <x:c r="T72" s="13" t="n"/>
      <x:c r="V72" s="13" t="n"/>
      <x:c r="X72" s="13" t="n"/>
      <x:c r="Z72" s="13" t="n"/>
      <x:c r="AB72" s="13" t="n"/>
      <x:c r="AD72" s="13" t="n"/>
      <x:c r="AF72" s="13" t="n"/>
      <x:c r="AH72" s="13" t="n"/>
      <x:c r="AJ72" s="13" t="n"/>
      <x:c r="AL72" s="13" t="n"/>
      <x:c r="AN72" s="13" t="n"/>
      <x:c r="AP72" s="13" t="n"/>
      <x:c r="AR72" s="13" t="n"/>
      <x:c r="AT72" s="13" t="n"/>
      <x:c r="AV72" s="13" t="n"/>
      <x:c r="AX72" s="13" t="n"/>
      <x:c r="AZ72" s="13" t="n"/>
      <x:c r="BB72" s="13" t="n"/>
      <x:c r="BD72" s="13" t="n"/>
      <x:c r="BF72" s="13" t="n"/>
    </x:row>
    <x:row r="73" s="1" customFormat="1" ht="15.75" customHeight="1">
      <x:c r="A73" s="2" t="n"/>
      <x:c r="J73" s="13" t="n"/>
      <x:c r="L73" s="13" t="n"/>
      <x:c r="N73" s="13" t="n"/>
      <x:c r="P73" s="13" t="n"/>
      <x:c r="R73" s="13" t="n"/>
      <x:c r="T73" s="13" t="n"/>
      <x:c r="V73" s="13" t="n"/>
      <x:c r="X73" s="13" t="n"/>
      <x:c r="Z73" s="13" t="n"/>
      <x:c r="AB73" s="13" t="n"/>
      <x:c r="AD73" s="13" t="n"/>
      <x:c r="AF73" s="13" t="n"/>
      <x:c r="AH73" s="13" t="n"/>
      <x:c r="AJ73" s="13" t="n"/>
      <x:c r="AL73" s="13" t="n"/>
      <x:c r="AN73" s="13" t="n"/>
      <x:c r="AP73" s="13" t="n"/>
      <x:c r="AR73" s="13" t="n"/>
      <x:c r="AT73" s="13" t="n"/>
      <x:c r="AV73" s="13" t="n"/>
      <x:c r="AX73" s="13" t="n"/>
      <x:c r="AZ73" s="13" t="n"/>
      <x:c r="BB73" s="13" t="n"/>
      <x:c r="BD73" s="13" t="n"/>
      <x:c r="BF73" s="13" t="n"/>
    </x:row>
    <x:row r="74" s="1" customFormat="1" ht="15.75" customHeight="1">
      <x:c r="A74" s="2" t="n"/>
      <x:c r="J74" s="13" t="n"/>
      <x:c r="L74" s="13" t="n"/>
      <x:c r="N74" s="13" t="n"/>
      <x:c r="P74" s="13" t="n"/>
      <x:c r="R74" s="13" t="n"/>
      <x:c r="T74" s="13" t="n"/>
      <x:c r="V74" s="13" t="n"/>
      <x:c r="X74" s="13" t="n"/>
      <x:c r="Z74" s="13" t="n"/>
      <x:c r="AB74" s="13" t="n"/>
      <x:c r="AD74" s="13" t="n"/>
      <x:c r="AF74" s="13" t="n"/>
      <x:c r="AH74" s="13" t="n"/>
      <x:c r="AJ74" s="13" t="n"/>
      <x:c r="AL74" s="13" t="n"/>
      <x:c r="AN74" s="13" t="n"/>
      <x:c r="AP74" s="13" t="n"/>
      <x:c r="AR74" s="13" t="n"/>
      <x:c r="AT74" s="13" t="n"/>
      <x:c r="AV74" s="13" t="n"/>
      <x:c r="AX74" s="13" t="n"/>
      <x:c r="AZ74" s="13" t="n"/>
      <x:c r="BB74" s="13" t="n"/>
      <x:c r="BD74" s="13" t="n"/>
      <x:c r="BF74" s="13" t="n"/>
    </x:row>
    <x:row r="75" s="1" customFormat="1" ht="15.75" customHeight="1">
      <x:c r="A75" s="2" t="n"/>
      <x:c r="J75" s="13" t="n"/>
      <x:c r="L75" s="13" t="n"/>
      <x:c r="N75" s="13" t="n"/>
      <x:c r="P75" s="13" t="n"/>
      <x:c r="R75" s="13" t="n"/>
      <x:c r="T75" s="13" t="n"/>
      <x:c r="V75" s="13" t="n"/>
      <x:c r="X75" s="13" t="n"/>
      <x:c r="Z75" s="13" t="n"/>
      <x:c r="AB75" s="13" t="n"/>
      <x:c r="AD75" s="13" t="n"/>
      <x:c r="AF75" s="13" t="n"/>
      <x:c r="AH75" s="13" t="n"/>
      <x:c r="AJ75" s="13" t="n"/>
      <x:c r="AL75" s="13" t="n"/>
      <x:c r="AN75" s="13" t="n"/>
      <x:c r="AP75" s="13" t="n"/>
      <x:c r="AR75" s="13" t="n"/>
      <x:c r="AT75" s="13" t="n"/>
      <x:c r="AV75" s="13" t="n"/>
      <x:c r="AX75" s="13" t="n"/>
      <x:c r="AZ75" s="13" t="n"/>
      <x:c r="BB75" s="13" t="n"/>
      <x:c r="BD75" s="13" t="n"/>
      <x:c r="BF75" s="13" t="n"/>
    </x:row>
    <x:row r="76" s="1" customFormat="1" ht="15.75" customHeight="1">
      <x:c r="A76" s="2" t="n"/>
      <x:c r="J76" s="13" t="n"/>
      <x:c r="L76" s="13" t="n"/>
      <x:c r="N76" s="13" t="n"/>
      <x:c r="P76" s="13" t="n"/>
      <x:c r="R76" s="13" t="n"/>
      <x:c r="T76" s="13" t="n"/>
      <x:c r="V76" s="13" t="n"/>
      <x:c r="X76" s="13" t="n"/>
      <x:c r="Z76" s="13" t="n"/>
      <x:c r="AB76" s="13" t="n"/>
      <x:c r="AD76" s="13" t="n"/>
      <x:c r="AF76" s="13" t="n"/>
      <x:c r="AH76" s="13" t="n"/>
      <x:c r="AJ76" s="13" t="n"/>
      <x:c r="AL76" s="13" t="n"/>
      <x:c r="AN76" s="13" t="n"/>
      <x:c r="AP76" s="13" t="n"/>
      <x:c r="AR76" s="13" t="n"/>
      <x:c r="AT76" s="13" t="n"/>
      <x:c r="AV76" s="13" t="n"/>
      <x:c r="AX76" s="13" t="n"/>
      <x:c r="AZ76" s="13" t="n"/>
      <x:c r="BB76" s="13" t="n"/>
      <x:c r="BD76" s="13" t="n"/>
      <x:c r="BF76" s="13" t="n"/>
    </x:row>
    <x:row r="77" s="1" customFormat="1" ht="15.75" customHeight="1">
      <x:c r="A77" s="2" t="n"/>
      <x:c r="J77" s="13" t="n"/>
      <x:c r="L77" s="13" t="n"/>
      <x:c r="N77" s="13" t="n"/>
      <x:c r="P77" s="13" t="n"/>
      <x:c r="R77" s="13" t="n"/>
      <x:c r="T77" s="13" t="n"/>
      <x:c r="V77" s="13" t="n"/>
      <x:c r="X77" s="13" t="n"/>
      <x:c r="Z77" s="13" t="n"/>
      <x:c r="AB77" s="13" t="n"/>
      <x:c r="AD77" s="13" t="n"/>
      <x:c r="AF77" s="13" t="n"/>
      <x:c r="AH77" s="13" t="n"/>
      <x:c r="AJ77" s="13" t="n"/>
      <x:c r="AL77" s="13" t="n"/>
      <x:c r="AN77" s="13" t="n"/>
      <x:c r="AP77" s="13" t="n"/>
      <x:c r="AR77" s="13" t="n"/>
      <x:c r="AT77" s="13" t="n"/>
      <x:c r="AV77" s="13" t="n"/>
      <x:c r="AX77" s="13" t="n"/>
      <x:c r="AZ77" s="13" t="n"/>
      <x:c r="BB77" s="13" t="n"/>
      <x:c r="BD77" s="13" t="n"/>
      <x:c r="BF77" s="13" t="n"/>
    </x:row>
    <x:row r="78" s="1" customFormat="1" ht="15.75" customHeight="1">
      <x:c r="A78" s="2" t="n"/>
      <x:c r="J78" s="13" t="n"/>
      <x:c r="L78" s="13" t="n"/>
      <x:c r="N78" s="13" t="n"/>
      <x:c r="P78" s="13" t="n"/>
      <x:c r="R78" s="13" t="n"/>
      <x:c r="T78" s="13" t="n"/>
      <x:c r="V78" s="13" t="n"/>
      <x:c r="X78" s="13" t="n"/>
      <x:c r="Z78" s="13" t="n"/>
      <x:c r="AB78" s="13" t="n"/>
      <x:c r="AD78" s="13" t="n"/>
      <x:c r="AF78" s="13" t="n"/>
      <x:c r="AH78" s="13" t="n"/>
      <x:c r="AJ78" s="13" t="n"/>
      <x:c r="AL78" s="13" t="n"/>
      <x:c r="AN78" s="13" t="n"/>
      <x:c r="AP78" s="13" t="n"/>
      <x:c r="AR78" s="13" t="n"/>
      <x:c r="AT78" s="13" t="n"/>
      <x:c r="AV78" s="13" t="n"/>
      <x:c r="AX78" s="13" t="n"/>
      <x:c r="AZ78" s="13" t="n"/>
      <x:c r="BB78" s="13" t="n"/>
      <x:c r="BD78" s="13" t="n"/>
      <x:c r="BF78" s="13" t="n"/>
    </x:row>
    <x:row r="79" s="1" customFormat="1" ht="15.75" customHeight="1">
      <x:c r="A79" s="2" t="n"/>
      <x:c r="J79" s="13" t="n"/>
      <x:c r="L79" s="13" t="n"/>
      <x:c r="N79" s="13" t="n"/>
      <x:c r="P79" s="13" t="n"/>
      <x:c r="R79" s="13" t="n"/>
      <x:c r="T79" s="13" t="n"/>
      <x:c r="V79" s="13" t="n"/>
      <x:c r="X79" s="13" t="n"/>
      <x:c r="Z79" s="13" t="n"/>
      <x:c r="AB79" s="13" t="n"/>
      <x:c r="AD79" s="13" t="n"/>
      <x:c r="AF79" s="13" t="n"/>
      <x:c r="AH79" s="13" t="n"/>
      <x:c r="AJ79" s="13" t="n"/>
      <x:c r="AL79" s="13" t="n"/>
      <x:c r="AN79" s="13" t="n"/>
      <x:c r="AP79" s="13" t="n"/>
      <x:c r="AR79" s="13" t="n"/>
      <x:c r="AT79" s="13" t="n"/>
      <x:c r="AV79" s="13" t="n"/>
      <x:c r="AX79" s="13" t="n"/>
      <x:c r="AZ79" s="13" t="n"/>
      <x:c r="BB79" s="13" t="n"/>
      <x:c r="BD79" s="13" t="n"/>
      <x:c r="BF79" s="13" t="n"/>
    </x:row>
    <x:row r="80" s="1" customFormat="1" ht="15.75" customHeight="1">
      <x:c r="A80" s="2" t="n"/>
      <x:c r="J80" s="13" t="n"/>
      <x:c r="L80" s="13" t="n"/>
      <x:c r="N80" s="13" t="n"/>
      <x:c r="P80" s="13" t="n"/>
      <x:c r="R80" s="13" t="n"/>
      <x:c r="T80" s="13" t="n"/>
      <x:c r="V80" s="13" t="n"/>
      <x:c r="X80" s="13" t="n"/>
      <x:c r="Z80" s="13" t="n"/>
      <x:c r="AB80" s="13" t="n"/>
      <x:c r="AD80" s="13" t="n"/>
      <x:c r="AF80" s="13" t="n"/>
      <x:c r="AH80" s="13" t="n"/>
      <x:c r="AJ80" s="13" t="n"/>
      <x:c r="AL80" s="13" t="n"/>
      <x:c r="AN80" s="13" t="n"/>
      <x:c r="AP80" s="13" t="n"/>
      <x:c r="AR80" s="13" t="n"/>
      <x:c r="AT80" s="13" t="n"/>
      <x:c r="AV80" s="13" t="n"/>
      <x:c r="AX80" s="13" t="n"/>
      <x:c r="AZ80" s="13" t="n"/>
      <x:c r="BB80" s="13" t="n"/>
      <x:c r="BD80" s="13" t="n"/>
      <x:c r="BF80" s="13" t="n"/>
    </x:row>
    <x:row r="81" s="1" customFormat="1" ht="15.75" customHeight="1">
      <x:c r="A81" s="2" t="n"/>
      <x:c r="J81" s="13" t="n"/>
      <x:c r="L81" s="13" t="n"/>
      <x:c r="N81" s="13" t="n"/>
      <x:c r="P81" s="13" t="n"/>
      <x:c r="R81" s="13" t="n"/>
      <x:c r="T81" s="13" t="n"/>
      <x:c r="V81" s="13" t="n"/>
      <x:c r="X81" s="13" t="n"/>
      <x:c r="Z81" s="13" t="n"/>
      <x:c r="AB81" s="13" t="n"/>
      <x:c r="AD81" s="13" t="n"/>
      <x:c r="AF81" s="13" t="n"/>
      <x:c r="AH81" s="13" t="n"/>
      <x:c r="AJ81" s="13" t="n"/>
      <x:c r="AL81" s="13" t="n"/>
      <x:c r="AN81" s="13" t="n"/>
      <x:c r="AP81" s="13" t="n"/>
      <x:c r="AR81" s="13" t="n"/>
      <x:c r="AT81" s="13" t="n"/>
      <x:c r="AV81" s="13" t="n"/>
      <x:c r="AX81" s="13" t="n"/>
      <x:c r="AZ81" s="13" t="n"/>
      <x:c r="BB81" s="13" t="n"/>
      <x:c r="BD81" s="13" t="n"/>
      <x:c r="BF81" s="13" t="n"/>
    </x:row>
    <x:row r="82" s="1" customFormat="1" ht="15.75" customHeight="1">
      <x:c r="A82" s="2" t="n"/>
      <x:c r="J82" s="13" t="n"/>
      <x:c r="L82" s="13" t="n"/>
      <x:c r="N82" s="13" t="n"/>
      <x:c r="P82" s="13" t="n"/>
      <x:c r="R82" s="13" t="n"/>
      <x:c r="T82" s="13" t="n"/>
      <x:c r="V82" s="13" t="n"/>
      <x:c r="X82" s="13" t="n"/>
      <x:c r="Z82" s="13" t="n"/>
      <x:c r="AB82" s="13" t="n"/>
      <x:c r="AD82" s="13" t="n"/>
      <x:c r="AF82" s="13" t="n"/>
      <x:c r="AH82" s="13" t="n"/>
      <x:c r="AJ82" s="13" t="n"/>
      <x:c r="AL82" s="13" t="n"/>
      <x:c r="AN82" s="13" t="n"/>
      <x:c r="AP82" s="13" t="n"/>
      <x:c r="AR82" s="13" t="n"/>
      <x:c r="AT82" s="13" t="n"/>
      <x:c r="AV82" s="13" t="n"/>
      <x:c r="AX82" s="13" t="n"/>
      <x:c r="AZ82" s="13" t="n"/>
      <x:c r="BB82" s="13" t="n"/>
      <x:c r="BD82" s="13" t="n"/>
      <x:c r="BF82" s="13" t="n"/>
    </x:row>
    <x:row r="83" s="1" customFormat="1" ht="15.75" customHeight="1">
      <x:c r="A83" s="2" t="n"/>
      <x:c r="J83" s="13" t="n"/>
      <x:c r="L83" s="13" t="n"/>
      <x:c r="N83" s="13" t="n"/>
      <x:c r="P83" s="13" t="n"/>
      <x:c r="R83" s="13" t="n"/>
      <x:c r="T83" s="13" t="n"/>
      <x:c r="V83" s="13" t="n"/>
      <x:c r="X83" s="13" t="n"/>
      <x:c r="Z83" s="13" t="n"/>
      <x:c r="AB83" s="13" t="n"/>
      <x:c r="AD83" s="13" t="n"/>
      <x:c r="AF83" s="13" t="n"/>
      <x:c r="AH83" s="13" t="n"/>
      <x:c r="AJ83" s="13" t="n"/>
      <x:c r="AL83" s="13" t="n"/>
      <x:c r="AN83" s="13" t="n"/>
      <x:c r="AP83" s="13" t="n"/>
      <x:c r="AR83" s="13" t="n"/>
      <x:c r="AT83" s="13" t="n"/>
      <x:c r="AV83" s="13" t="n"/>
      <x:c r="AX83" s="13" t="n"/>
      <x:c r="AZ83" s="13" t="n"/>
      <x:c r="BB83" s="13" t="n"/>
      <x:c r="BD83" s="13" t="n"/>
      <x:c r="BF83" s="13" t="n"/>
    </x:row>
    <x:row r="84" s="1" customFormat="1" ht="15.75" customHeight="1">
      <x:c r="A84" s="2" t="n"/>
      <x:c r="J84" s="13" t="n"/>
      <x:c r="L84" s="13" t="n"/>
      <x:c r="N84" s="13" t="n"/>
      <x:c r="P84" s="13" t="n"/>
      <x:c r="R84" s="13" t="n"/>
      <x:c r="T84" s="13" t="n"/>
      <x:c r="V84" s="13" t="n"/>
      <x:c r="X84" s="13" t="n"/>
      <x:c r="Z84" s="13" t="n"/>
      <x:c r="AB84" s="13" t="n"/>
      <x:c r="AD84" s="13" t="n"/>
      <x:c r="AF84" s="13" t="n"/>
      <x:c r="AH84" s="13" t="n"/>
      <x:c r="AJ84" s="13" t="n"/>
      <x:c r="AL84" s="13" t="n"/>
      <x:c r="AN84" s="13" t="n"/>
      <x:c r="AP84" s="13" t="n"/>
      <x:c r="AR84" s="13" t="n"/>
      <x:c r="AT84" s="13" t="n"/>
      <x:c r="AV84" s="13" t="n"/>
      <x:c r="AX84" s="13" t="n"/>
      <x:c r="AZ84" s="13" t="n"/>
      <x:c r="BB84" s="13" t="n"/>
      <x:c r="BD84" s="13" t="n"/>
      <x:c r="BF84" s="13" t="n"/>
    </x:row>
    <x:row r="85" s="1" customFormat="1" ht="15.75" customHeight="1">
      <x:c r="A85" s="2" t="n"/>
      <x:c r="J85" s="13" t="n"/>
      <x:c r="L85" s="13" t="n"/>
      <x:c r="N85" s="13" t="n"/>
      <x:c r="P85" s="13" t="n"/>
      <x:c r="R85" s="13" t="n"/>
      <x:c r="T85" s="13" t="n"/>
      <x:c r="V85" s="13" t="n"/>
      <x:c r="X85" s="13" t="n"/>
      <x:c r="Z85" s="13" t="n"/>
      <x:c r="AB85" s="13" t="n"/>
      <x:c r="AD85" s="13" t="n"/>
      <x:c r="AF85" s="13" t="n"/>
      <x:c r="AH85" s="13" t="n"/>
      <x:c r="AJ85" s="13" t="n"/>
      <x:c r="AL85" s="13" t="n"/>
      <x:c r="AN85" s="13" t="n"/>
      <x:c r="AP85" s="13" t="n"/>
      <x:c r="AR85" s="13" t="n"/>
      <x:c r="AT85" s="13" t="n"/>
      <x:c r="AV85" s="13" t="n"/>
      <x:c r="AX85" s="13" t="n"/>
      <x:c r="AZ85" s="13" t="n"/>
      <x:c r="BB85" s="13" t="n"/>
      <x:c r="BD85" s="13" t="n"/>
      <x:c r="BF85" s="13" t="n"/>
    </x:row>
    <x:row r="86" s="1" customFormat="1" ht="15.75" customHeight="1">
      <x:c r="A86" s="2" t="n"/>
      <x:c r="J86" s="13" t="n"/>
      <x:c r="L86" s="13" t="n"/>
      <x:c r="N86" s="13" t="n"/>
      <x:c r="P86" s="13" t="n"/>
      <x:c r="R86" s="13" t="n"/>
      <x:c r="T86" s="13" t="n"/>
      <x:c r="V86" s="13" t="n"/>
      <x:c r="X86" s="13" t="n"/>
      <x:c r="Z86" s="13" t="n"/>
      <x:c r="AB86" s="13" t="n"/>
      <x:c r="AD86" s="13" t="n"/>
      <x:c r="AF86" s="13" t="n"/>
      <x:c r="AH86" s="13" t="n"/>
      <x:c r="AJ86" s="13" t="n"/>
      <x:c r="AL86" s="13" t="n"/>
      <x:c r="AN86" s="13" t="n"/>
      <x:c r="AP86" s="13" t="n"/>
      <x:c r="AR86" s="13" t="n"/>
      <x:c r="AT86" s="13" t="n"/>
      <x:c r="AV86" s="13" t="n"/>
      <x:c r="AX86" s="13" t="n"/>
      <x:c r="AZ86" s="13" t="n"/>
      <x:c r="BB86" s="13" t="n"/>
      <x:c r="BD86" s="13" t="n"/>
      <x:c r="BF86" s="13" t="n"/>
    </x:row>
    <x:row r="87" s="1" customFormat="1" ht="15.75" customHeight="1">
      <x:c r="A87" s="2" t="n"/>
      <x:c r="J87" s="13" t="n"/>
      <x:c r="L87" s="13" t="n"/>
      <x:c r="N87" s="13" t="n"/>
      <x:c r="P87" s="13" t="n"/>
      <x:c r="R87" s="13" t="n"/>
      <x:c r="T87" s="13" t="n"/>
      <x:c r="V87" s="13" t="n"/>
      <x:c r="X87" s="13" t="n"/>
      <x:c r="Z87" s="13" t="n"/>
      <x:c r="AB87" s="13" t="n"/>
      <x:c r="AD87" s="13" t="n"/>
      <x:c r="AF87" s="13" t="n"/>
      <x:c r="AH87" s="13" t="n"/>
      <x:c r="AJ87" s="13" t="n"/>
      <x:c r="AL87" s="13" t="n"/>
      <x:c r="AN87" s="13" t="n"/>
      <x:c r="AP87" s="13" t="n"/>
      <x:c r="AR87" s="13" t="n"/>
      <x:c r="AT87" s="13" t="n"/>
      <x:c r="AV87" s="13" t="n"/>
      <x:c r="AX87" s="13" t="n"/>
      <x:c r="AZ87" s="13" t="n"/>
      <x:c r="BB87" s="13" t="n"/>
      <x:c r="BD87" s="13" t="n"/>
      <x:c r="BF87" s="13" t="n"/>
    </x:row>
    <x:row r="88" s="1" customFormat="1" ht="15.75" customHeight="1">
      <x:c r="A88" s="2" t="n"/>
      <x:c r="J88" s="13" t="n"/>
      <x:c r="L88" s="13" t="n"/>
      <x:c r="N88" s="13" t="n"/>
      <x:c r="P88" s="13" t="n"/>
      <x:c r="R88" s="13" t="n"/>
      <x:c r="T88" s="13" t="n"/>
      <x:c r="V88" s="13" t="n"/>
      <x:c r="X88" s="13" t="n"/>
      <x:c r="Z88" s="13" t="n"/>
      <x:c r="AB88" s="13" t="n"/>
      <x:c r="AD88" s="13" t="n"/>
      <x:c r="AF88" s="13" t="n"/>
      <x:c r="AH88" s="13" t="n"/>
      <x:c r="AJ88" s="13" t="n"/>
      <x:c r="AL88" s="13" t="n"/>
      <x:c r="AN88" s="13" t="n"/>
      <x:c r="AP88" s="13" t="n"/>
      <x:c r="AR88" s="13" t="n"/>
      <x:c r="AT88" s="13" t="n"/>
      <x:c r="AV88" s="13" t="n"/>
      <x:c r="AX88" s="13" t="n"/>
      <x:c r="AZ88" s="13" t="n"/>
      <x:c r="BB88" s="13" t="n"/>
      <x:c r="BD88" s="13" t="n"/>
      <x:c r="BF88" s="13" t="n"/>
    </x:row>
    <x:row r="89" s="1" customFormat="1" ht="15.75" customHeight="1">
      <x:c r="A89" s="2" t="n"/>
      <x:c r="J89" s="13" t="n"/>
      <x:c r="L89" s="13" t="n"/>
      <x:c r="N89" s="13" t="n"/>
      <x:c r="P89" s="13" t="n"/>
      <x:c r="R89" s="13" t="n"/>
      <x:c r="T89" s="13" t="n"/>
      <x:c r="V89" s="13" t="n"/>
      <x:c r="X89" s="13" t="n"/>
      <x:c r="Z89" s="13" t="n"/>
      <x:c r="AB89" s="13" t="n"/>
      <x:c r="AD89" s="13" t="n"/>
      <x:c r="AF89" s="13" t="n"/>
      <x:c r="AH89" s="13" t="n"/>
      <x:c r="AJ89" s="13" t="n"/>
      <x:c r="AL89" s="13" t="n"/>
      <x:c r="AN89" s="13" t="n"/>
      <x:c r="AP89" s="13" t="n"/>
      <x:c r="AR89" s="13" t="n"/>
      <x:c r="AT89" s="13" t="n"/>
      <x:c r="AV89" s="13" t="n"/>
      <x:c r="AX89" s="13" t="n"/>
      <x:c r="AZ89" s="13" t="n"/>
      <x:c r="BB89" s="13" t="n"/>
      <x:c r="BD89" s="13" t="n"/>
      <x:c r="BF89" s="13" t="n"/>
    </x:row>
    <x:row r="90" s="1" customFormat="1" ht="15.75" customHeight="1">
      <x:c r="A90" s="2" t="n"/>
      <x:c r="J90" s="13" t="n"/>
      <x:c r="L90" s="13" t="n"/>
      <x:c r="N90" s="13" t="n"/>
      <x:c r="P90" s="13" t="n"/>
      <x:c r="R90" s="13" t="n"/>
      <x:c r="T90" s="13" t="n"/>
      <x:c r="V90" s="13" t="n"/>
      <x:c r="X90" s="13" t="n"/>
      <x:c r="Z90" s="13" t="n"/>
      <x:c r="AB90" s="13" t="n"/>
      <x:c r="AD90" s="13" t="n"/>
      <x:c r="AF90" s="13" t="n"/>
      <x:c r="AH90" s="13" t="n"/>
      <x:c r="AJ90" s="13" t="n"/>
      <x:c r="AL90" s="13" t="n"/>
      <x:c r="AN90" s="13" t="n"/>
      <x:c r="AP90" s="13" t="n"/>
      <x:c r="AR90" s="13" t="n"/>
      <x:c r="AT90" s="13" t="n"/>
      <x:c r="AV90" s="13" t="n"/>
      <x:c r="AX90" s="13" t="n"/>
      <x:c r="AZ90" s="13" t="n"/>
      <x:c r="BB90" s="13" t="n"/>
      <x:c r="BD90" s="13" t="n"/>
      <x:c r="BF90" s="13" t="n"/>
    </x:row>
    <x:row r="91" s="1" customFormat="1" ht="15.75" customHeight="1">
      <x:c r="A91" s="2" t="n"/>
      <x:c r="J91" s="13" t="n"/>
      <x:c r="L91" s="13" t="n"/>
      <x:c r="N91" s="13" t="n"/>
      <x:c r="P91" s="13" t="n"/>
      <x:c r="R91" s="13" t="n"/>
      <x:c r="T91" s="13" t="n"/>
      <x:c r="V91" s="13" t="n"/>
      <x:c r="X91" s="13" t="n"/>
      <x:c r="Z91" s="13" t="n"/>
      <x:c r="AB91" s="13" t="n"/>
      <x:c r="AD91" s="13" t="n"/>
      <x:c r="AF91" s="13" t="n"/>
      <x:c r="AH91" s="13" t="n"/>
      <x:c r="AJ91" s="13" t="n"/>
      <x:c r="AL91" s="13" t="n"/>
      <x:c r="AN91" s="13" t="n"/>
      <x:c r="AP91" s="13" t="n"/>
      <x:c r="AR91" s="13" t="n"/>
      <x:c r="AT91" s="13" t="n"/>
      <x:c r="AV91" s="13" t="n"/>
      <x:c r="AX91" s="13" t="n"/>
      <x:c r="AZ91" s="13" t="n"/>
      <x:c r="BB91" s="13" t="n"/>
      <x:c r="BD91" s="13" t="n"/>
      <x:c r="BF91" s="13" t="n"/>
    </x:row>
    <x:row r="92" s="1" customFormat="1" ht="15.75" customHeight="1">
      <x:c r="A92" s="2" t="n"/>
      <x:c r="J92" s="13" t="n"/>
      <x:c r="L92" s="13" t="n"/>
      <x:c r="N92" s="13" t="n"/>
      <x:c r="P92" s="13" t="n"/>
      <x:c r="R92" s="13" t="n"/>
      <x:c r="T92" s="13" t="n"/>
      <x:c r="V92" s="13" t="n"/>
      <x:c r="X92" s="13" t="n"/>
      <x:c r="Z92" s="13" t="n"/>
      <x:c r="AB92" s="13" t="n"/>
      <x:c r="AD92" s="13" t="n"/>
      <x:c r="AF92" s="13" t="n"/>
      <x:c r="AH92" s="13" t="n"/>
      <x:c r="AJ92" s="13" t="n"/>
      <x:c r="AL92" s="13" t="n"/>
      <x:c r="AN92" s="13" t="n"/>
      <x:c r="AP92" s="13" t="n"/>
      <x:c r="AR92" s="13" t="n"/>
      <x:c r="AT92" s="13" t="n"/>
      <x:c r="AV92" s="13" t="n"/>
      <x:c r="AX92" s="13" t="n"/>
      <x:c r="AZ92" s="13" t="n"/>
      <x:c r="BB92" s="13" t="n"/>
      <x:c r="BD92" s="13" t="n"/>
      <x:c r="BF92" s="13" t="n"/>
    </x:row>
    <x:row r="93" s="1" customFormat="1" ht="15.75" customHeight="1">
      <x:c r="A93" s="2" t="n"/>
      <x:c r="J93" s="13" t="n"/>
      <x:c r="L93" s="13" t="n"/>
      <x:c r="N93" s="13" t="n"/>
      <x:c r="P93" s="13" t="n"/>
      <x:c r="R93" s="13" t="n"/>
      <x:c r="T93" s="13" t="n"/>
      <x:c r="V93" s="13" t="n"/>
      <x:c r="X93" s="13" t="n"/>
      <x:c r="Z93" s="13" t="n"/>
      <x:c r="AB93" s="13" t="n"/>
      <x:c r="AD93" s="13" t="n"/>
      <x:c r="AF93" s="13" t="n"/>
      <x:c r="AH93" s="13" t="n"/>
      <x:c r="AJ93" s="13" t="n"/>
      <x:c r="AL93" s="13" t="n"/>
      <x:c r="AN93" s="13" t="n"/>
      <x:c r="AP93" s="13" t="n"/>
      <x:c r="AR93" s="13" t="n"/>
      <x:c r="AT93" s="13" t="n"/>
      <x:c r="AV93" s="13" t="n"/>
      <x:c r="AX93" s="13" t="n"/>
      <x:c r="AZ93" s="13" t="n"/>
      <x:c r="BB93" s="13" t="n"/>
      <x:c r="BD93" s="13" t="n"/>
      <x:c r="BF93" s="13" t="n"/>
    </x:row>
    <x:row r="94" s="1" customFormat="1" ht="15.75" customHeight="1">
      <x:c r="A94" s="2" t="n"/>
      <x:c r="J94" s="13" t="n"/>
      <x:c r="L94" s="13" t="n"/>
      <x:c r="N94" s="13" t="n"/>
      <x:c r="P94" s="13" t="n"/>
      <x:c r="R94" s="13" t="n"/>
      <x:c r="T94" s="13" t="n"/>
      <x:c r="V94" s="13" t="n"/>
      <x:c r="X94" s="13" t="n"/>
      <x:c r="Z94" s="13" t="n"/>
      <x:c r="AB94" s="13" t="n"/>
      <x:c r="AD94" s="13" t="n"/>
      <x:c r="AF94" s="13" t="n"/>
      <x:c r="AH94" s="13" t="n"/>
      <x:c r="AJ94" s="13" t="n"/>
      <x:c r="AL94" s="13" t="n"/>
      <x:c r="AN94" s="13" t="n"/>
      <x:c r="AP94" s="13" t="n"/>
      <x:c r="AR94" s="13" t="n"/>
      <x:c r="AT94" s="13" t="n"/>
      <x:c r="AV94" s="13" t="n"/>
      <x:c r="AX94" s="13" t="n"/>
      <x:c r="AZ94" s="13" t="n"/>
      <x:c r="BB94" s="13" t="n"/>
      <x:c r="BD94" s="13" t="n"/>
      <x:c r="BF94" s="13" t="n"/>
    </x:row>
    <x:row r="95" s="1" customFormat="1" ht="15.75" customHeight="1">
      <x:c r="A95" s="2" t="n"/>
      <x:c r="J95" s="13" t="n"/>
      <x:c r="L95" s="13" t="n"/>
      <x:c r="N95" s="13" t="n"/>
      <x:c r="P95" s="13" t="n"/>
      <x:c r="R95" s="13" t="n"/>
      <x:c r="T95" s="13" t="n"/>
      <x:c r="V95" s="13" t="n"/>
      <x:c r="X95" s="13" t="n"/>
      <x:c r="Z95" s="13" t="n"/>
      <x:c r="AB95" s="13" t="n"/>
      <x:c r="AD95" s="13" t="n"/>
      <x:c r="AF95" s="13" t="n"/>
      <x:c r="AH95" s="13" t="n"/>
      <x:c r="AJ95" s="13" t="n"/>
      <x:c r="AL95" s="13" t="n"/>
      <x:c r="AN95" s="13" t="n"/>
      <x:c r="AP95" s="13" t="n"/>
      <x:c r="AR95" s="13" t="n"/>
      <x:c r="AT95" s="13" t="n"/>
      <x:c r="AV95" s="13" t="n"/>
      <x:c r="AX95" s="13" t="n"/>
      <x:c r="AZ95" s="13" t="n"/>
      <x:c r="BB95" s="13" t="n"/>
      <x:c r="BD95" s="13" t="n"/>
      <x:c r="BF95" s="13" t="n"/>
    </x:row>
    <x:row r="96" s="1" customFormat="1" ht="15.75" customHeight="1">
      <x:c r="A96" s="2" t="n"/>
      <x:c r="J96" s="13" t="n"/>
      <x:c r="L96" s="13" t="n"/>
      <x:c r="N96" s="13" t="n"/>
      <x:c r="P96" s="13" t="n"/>
      <x:c r="R96" s="13" t="n"/>
      <x:c r="T96" s="13" t="n"/>
      <x:c r="V96" s="13" t="n"/>
      <x:c r="X96" s="13" t="n"/>
      <x:c r="Z96" s="13" t="n"/>
      <x:c r="AB96" s="13" t="n"/>
      <x:c r="AD96" s="13" t="n"/>
      <x:c r="AF96" s="13" t="n"/>
      <x:c r="AH96" s="13" t="n"/>
      <x:c r="AJ96" s="13" t="n"/>
      <x:c r="AL96" s="13" t="n"/>
      <x:c r="AN96" s="13" t="n"/>
      <x:c r="AP96" s="13" t="n"/>
      <x:c r="AR96" s="13" t="n"/>
      <x:c r="AT96" s="13" t="n"/>
      <x:c r="AV96" s="13" t="n"/>
      <x:c r="AX96" s="13" t="n"/>
      <x:c r="AZ96" s="13" t="n"/>
      <x:c r="BB96" s="13" t="n"/>
      <x:c r="BD96" s="13" t="n"/>
      <x:c r="BF96" s="13" t="n"/>
    </x:row>
    <x:row r="97" s="1" customFormat="1" ht="15.75" customHeight="1">
      <x:c r="A97" s="2" t="n"/>
      <x:c r="J97" s="13" t="n"/>
      <x:c r="L97" s="13" t="n"/>
      <x:c r="N97" s="13" t="n"/>
      <x:c r="P97" s="13" t="n"/>
      <x:c r="R97" s="13" t="n"/>
      <x:c r="T97" s="13" t="n"/>
      <x:c r="V97" s="13" t="n"/>
      <x:c r="X97" s="13" t="n"/>
      <x:c r="Z97" s="13" t="n"/>
      <x:c r="AB97" s="13" t="n"/>
      <x:c r="AD97" s="13" t="n"/>
      <x:c r="AF97" s="13" t="n"/>
      <x:c r="AH97" s="13" t="n"/>
      <x:c r="AJ97" s="13" t="n"/>
      <x:c r="AL97" s="13" t="n"/>
      <x:c r="AN97" s="13" t="n"/>
      <x:c r="AP97" s="13" t="n"/>
      <x:c r="AR97" s="13" t="n"/>
      <x:c r="AT97" s="13" t="n"/>
      <x:c r="AV97" s="13" t="n"/>
      <x:c r="AX97" s="13" t="n"/>
      <x:c r="AZ97" s="13" t="n"/>
      <x:c r="BB97" s="13" t="n"/>
      <x:c r="BD97" s="13" t="n"/>
      <x:c r="BF97" s="13" t="n"/>
    </x:row>
    <x:row r="98" s="1" customFormat="1" ht="15.75" customHeight="1">
      <x:c r="A98" s="2" t="n"/>
      <x:c r="J98" s="13" t="n"/>
      <x:c r="L98" s="13" t="n"/>
      <x:c r="N98" s="13" t="n"/>
      <x:c r="P98" s="13" t="n"/>
      <x:c r="R98" s="13" t="n"/>
      <x:c r="T98" s="13" t="n"/>
      <x:c r="V98" s="13" t="n"/>
      <x:c r="X98" s="13" t="n"/>
      <x:c r="Z98" s="13" t="n"/>
      <x:c r="AB98" s="13" t="n"/>
      <x:c r="AD98" s="13" t="n"/>
      <x:c r="AF98" s="13" t="n"/>
      <x:c r="AH98" s="13" t="n"/>
      <x:c r="AJ98" s="13" t="n"/>
      <x:c r="AL98" s="13" t="n"/>
      <x:c r="AN98" s="13" t="n"/>
      <x:c r="AP98" s="13" t="n"/>
      <x:c r="AR98" s="13" t="n"/>
      <x:c r="AT98" s="13" t="n"/>
      <x:c r="AV98" s="13" t="n"/>
      <x:c r="AX98" s="13" t="n"/>
      <x:c r="AZ98" s="13" t="n"/>
      <x:c r="BB98" s="13" t="n"/>
      <x:c r="BD98" s="13" t="n"/>
      <x:c r="BF98" s="13" t="n"/>
    </x:row>
    <x:row r="99" s="1" customFormat="1" ht="15.75" customHeight="1">
      <x:c r="A99" s="2" t="n"/>
      <x:c r="J99" s="13" t="n"/>
      <x:c r="L99" s="13" t="n"/>
      <x:c r="N99" s="13" t="n"/>
      <x:c r="P99" s="13" t="n"/>
      <x:c r="R99" s="13" t="n"/>
      <x:c r="T99" s="13" t="n"/>
      <x:c r="V99" s="13" t="n"/>
      <x:c r="X99" s="13" t="n"/>
      <x:c r="Z99" s="13" t="n"/>
      <x:c r="AB99" s="13" t="n"/>
      <x:c r="AD99" s="13" t="n"/>
      <x:c r="AF99" s="13" t="n"/>
      <x:c r="AH99" s="13" t="n"/>
      <x:c r="AJ99" s="13" t="n"/>
      <x:c r="AL99" s="13" t="n"/>
      <x:c r="AN99" s="13" t="n"/>
      <x:c r="AP99" s="13" t="n"/>
      <x:c r="AR99" s="13" t="n"/>
      <x:c r="AT99" s="13" t="n"/>
      <x:c r="AV99" s="13" t="n"/>
      <x:c r="AX99" s="13" t="n"/>
      <x:c r="AZ99" s="13" t="n"/>
      <x:c r="BB99" s="13" t="n"/>
      <x:c r="BD99" s="13" t="n"/>
      <x:c r="BF99" s="13" t="n"/>
    </x:row>
    <x:row r="100" s="1" customFormat="1" ht="15.75" customHeight="1">
      <x:c r="A100" s="2" t="n"/>
      <x:c r="J100" s="13" t="n"/>
      <x:c r="L100" s="13" t="n"/>
      <x:c r="N100" s="13" t="n"/>
      <x:c r="P100" s="13" t="n"/>
      <x:c r="R100" s="13" t="n"/>
      <x:c r="T100" s="13" t="n"/>
      <x:c r="V100" s="13" t="n"/>
      <x:c r="X100" s="13" t="n"/>
      <x:c r="Z100" s="13" t="n"/>
      <x:c r="AB100" s="13" t="n"/>
      <x:c r="AD100" s="13" t="n"/>
      <x:c r="AF100" s="13" t="n"/>
      <x:c r="AH100" s="13" t="n"/>
      <x:c r="AJ100" s="13" t="n"/>
      <x:c r="AL100" s="13" t="n"/>
      <x:c r="AN100" s="13" t="n"/>
      <x:c r="AP100" s="13" t="n"/>
      <x:c r="AR100" s="13" t="n"/>
      <x:c r="AT100" s="13" t="n"/>
      <x:c r="AV100" s="13" t="n"/>
      <x:c r="AX100" s="13" t="n"/>
      <x:c r="AZ100" s="13" t="n"/>
      <x:c r="BB100" s="13" t="n"/>
      <x:c r="BD100" s="13" t="n"/>
      <x:c r="BF100" s="13" t="n"/>
    </x:row>
    <x:row r="101" s="1" customFormat="1" ht="15.75" customHeight="1">
      <x:c r="A101" s="2" t="n"/>
      <x:c r="J101" s="13" t="n"/>
      <x:c r="L101" s="13" t="n"/>
      <x:c r="N101" s="13" t="n"/>
      <x:c r="P101" s="13" t="n"/>
      <x:c r="R101" s="13" t="n"/>
      <x:c r="T101" s="13" t="n"/>
      <x:c r="V101" s="13" t="n"/>
      <x:c r="X101" s="13" t="n"/>
      <x:c r="Z101" s="13" t="n"/>
      <x:c r="AB101" s="13" t="n"/>
      <x:c r="AD101" s="13" t="n"/>
      <x:c r="AF101" s="13" t="n"/>
      <x:c r="AH101" s="13" t="n"/>
      <x:c r="AJ101" s="13" t="n"/>
      <x:c r="AL101" s="13" t="n"/>
      <x:c r="AN101" s="13" t="n"/>
      <x:c r="AP101" s="13" t="n"/>
      <x:c r="AR101" s="13" t="n"/>
      <x:c r="AT101" s="13" t="n"/>
      <x:c r="AV101" s="13" t="n"/>
      <x:c r="AX101" s="13" t="n"/>
      <x:c r="AZ101" s="13" t="n"/>
      <x:c r="BB101" s="13" t="n"/>
      <x:c r="BD101" s="13" t="n"/>
      <x:c r="BF101" s="13" t="n"/>
    </x:row>
    <x:row r="102" s="1" customFormat="1" ht="15.75" customHeight="1">
      <x:c r="A102" s="2" t="n"/>
      <x:c r="J102" s="13" t="n"/>
      <x:c r="L102" s="13" t="n"/>
      <x:c r="N102" s="13" t="n"/>
      <x:c r="P102" s="13" t="n"/>
      <x:c r="R102" s="13" t="n"/>
      <x:c r="T102" s="13" t="n"/>
      <x:c r="V102" s="13" t="n"/>
      <x:c r="X102" s="13" t="n"/>
      <x:c r="Z102" s="13" t="n"/>
      <x:c r="AB102" s="13" t="n"/>
      <x:c r="AD102" s="13" t="n"/>
      <x:c r="AF102" s="13" t="n"/>
      <x:c r="AH102" s="13" t="n"/>
      <x:c r="AJ102" s="13" t="n"/>
      <x:c r="AL102" s="13" t="n"/>
      <x:c r="AN102" s="13" t="n"/>
      <x:c r="AP102" s="13" t="n"/>
      <x:c r="AR102" s="13" t="n"/>
      <x:c r="AT102" s="13" t="n"/>
      <x:c r="AV102" s="13" t="n"/>
      <x:c r="AX102" s="13" t="n"/>
      <x:c r="AZ102" s="13" t="n"/>
      <x:c r="BB102" s="13" t="n"/>
      <x:c r="BD102" s="13" t="n"/>
      <x:c r="BF102" s="13" t="n"/>
    </x:row>
  </x:sheetData>
  <x:mergeCells>
    <x:mergeCell ref="A1:D1"/>
    <x:mergeCell ref="B24:C24"/>
    <x:mergeCell ref="E2:F2"/>
    <x:mergeCell ref="B19:C19"/>
    <x:mergeCell ref="B5:C5"/>
    <x:mergeCell ref="A3:D3"/>
    <x:mergeCell ref="A34:C34"/>
    <x:mergeCell ref="B8:C8"/>
  </x:mergeCells>
  <x:pageMargins left="0.7" right="0.7" top="0.75" bottom="0.75" header="0.3" footer="0.3"/>
  <x:legacyDrawing xmlns:r="http://schemas.openxmlformats.org/officeDocument/2006/relationships" r:id="R2b5f2b071c404ffd"/>
</x:worksheet>
</file>

<file path=xl/worksheets/sheet2.xml><?xml version="1.0" encoding="utf-8"?>
<x:worksheet xmlns:x="http://schemas.openxmlformats.org/spreadsheetml/2006/main">
  <x:sheetFormatPr defaultRowHeight="15"/>
  <x:cols>
    <x:col min="2" max="2" width="48.5703125" customWidth="1"/>
    <x:col min="3" max="3" width="20" customWidth="1"/>
    <x:col min="4" max="4" width="19.28515625" customWidth="1"/>
    <x:col min="6" max="6" width="31.140625" customWidth="1"/>
    <x:col min="10" max="43" width="0" customWidth="0"/>
    <x:col min="44" max="44" width="30.7109375" customWidth="1"/>
    <x:col min="46" max="46" width="30.7109375" customWidth="1"/>
    <x:col min="48" max="48" width="30.7109375" customWidth="1"/>
    <x:col min="50" max="50" width="30.7109375" customWidth="1"/>
    <x:col min="52" max="52" width="30.7109375" customWidth="1"/>
    <x:col min="54" max="54" width="30.7109375" customWidth="1"/>
    <x:col min="56" max="56" width="30.7109375" customWidth="1"/>
    <x:col min="58" max="58" width="30.7109375" customWidth="1"/>
  </x:cols>
  <x:sheetData>
    <x:row r="1" ht="21" customHeight="1">
      <x:c r="A1" s="74" t="inlineStr">
        <x:is>
          <x:t xml:space="preserve">Подбор лицензий</x:t>
        </x:is>
      </x:c>
    </x:row>
    <x:row r="2">
      <x:c r="A2" s="4" t="n"/>
    </x:row>
    <x:row r="3" ht="19.5" customHeight="1">
      <x:c r="A3" s="73" t="inlineStr">
        <x:is>
          <x:t xml:space="preserve">Выбор лицензий</x:t>
        </x:is>
      </x:c>
    </x:row>
    <x:row r="4" s="1" customFormat="1" ht="16.5" customHeight="1">
      <x:c r="A4" s="8" t="inlineStr">
        <x:is>
          <x:t xml:space="preserve">1</x:t>
        </x:is>
      </x:c>
      <x:c r="B4" s="77" t="inlineStr">
        <x:is>
          <x:t xml:space="preserve">Лицензии на год </x:t>
        </x:is>
      </x:c>
      <x:c r="C4" s="82" t="n"/>
      <x:c r="D4" s="25">
        <x:f>SUM(D5:D12)</x:f>
        <x:v>550</x:v>
      </x:c>
      <x:c r="E4" s="7" t="inlineStr">
        <x:is>
          <x:t xml:space="preserve">Базис</x:t>
        </x:is>
      </x:c>
      <x:c r="F4" s="29" t="inlineStr">
        <x:is>
          <x:t xml:space="preserve">Справочно: диапазон оценки</x:t>
        </x:is>
      </x:c>
      <x:c r="J4" s="13" t="n"/>
      <x:c r="L4" s="13" t="n"/>
      <x:c r="N4" s="13" t="n"/>
      <x:c r="P4" s="13" t="n"/>
      <x:c r="R4" s="13" t="n"/>
      <x:c r="T4" s="13" t="n"/>
      <x:c r="V4" s="13" t="n"/>
      <x:c r="X4" s="13" t="n"/>
      <x:c r="Z4" s="13" t="n"/>
      <x:c r="AB4" s="13" t="n"/>
      <x:c r="AD4" s="13" t="n"/>
      <x:c r="AF4" s="13" t="n"/>
      <x:c r="AH4" s="13" t="n"/>
      <x:c r="AJ4" s="13" t="n"/>
      <x:c r="AL4" s="13" t="n"/>
      <x:c r="AN4" s="13" t="n"/>
      <x:c r="AP4" s="13" t="n"/>
      <x:c r="AR4" s="13" t="n"/>
      <x:c r="AT4" s="13" t="n"/>
      <x:c r="AV4" s="13" t="n"/>
      <x:c r="AX4" s="13" t="n"/>
      <x:c r="AZ4" s="13" t="n"/>
      <x:c r="BB4" s="13" t="n"/>
      <x:c r="BD4" s="13" t="n"/>
      <x:c r="BF4" s="13" t="n"/>
    </x:row>
    <x:row r="5" s="1" customFormat="1" ht="15.75" customHeight="1">
      <x:c r="A5" s="9" t="inlineStr">
        <x:is>
          <x:t xml:space="preserve">4.1</x:t>
        </x:is>
      </x:c>
      <x:c r="B5" s="6" t="inlineStr">
        <x:is>
          <x:t xml:space="preserve">Годовая подписка на Robin Cloud</x:t>
        </x:is>
      </x:c>
      <x:c r="C5" s="6" t="inlineStr">
        <x:is>
          <x:t xml:space="preserve">Нет</x:t>
        </x:is>
      </x:c>
      <x:c r="D5" s="28">
        <x:f>INDEX(AQ15:AQ19,MATCH(C5,AP15:AP19,0))*E5</x:f>
        <x:v>0</x:v>
      </x:c>
      <x:c r="E5" s="32" t="n">
        <x:v>100</x:v>
      </x:c>
      <x:c r="F5" s="24" t="inlineStr">
        <x:is>
          <x:t xml:space="preserve"> тарифы от 55 до 600 т.р.</x:t>
        </x:is>
      </x:c>
      <x:c r="J5" s="13" t="n"/>
      <x:c r="L5" s="13" t="n"/>
      <x:c r="N5" s="13" t="n"/>
      <x:c r="P5" s="13" t="n"/>
      <x:c r="R5" s="13" t="n"/>
      <x:c r="T5" s="13" t="n"/>
      <x:c r="V5" s="13" t="n"/>
      <x:c r="X5" s="13" t="n"/>
      <x:c r="Z5" s="13" t="n"/>
      <x:c r="AB5" s="13" t="n"/>
      <x:c r="AD5" s="13" t="n"/>
      <x:c r="AF5" s="13" t="n"/>
      <x:c r="AH5" s="13" t="n"/>
      <x:c r="AJ5" s="13" t="n"/>
      <x:c r="AL5" s="13" t="n"/>
      <x:c r="AN5" s="13" t="n"/>
      <x:c r="AP5" s="13" t="n"/>
      <x:c r="AR5" s="13" t="n"/>
      <x:c r="AT5" s="13" t="n"/>
      <x:c r="AV5" s="13" t="n"/>
      <x:c r="AX5" s="13" t="n"/>
      <x:c r="AZ5" s="13" t="n"/>
      <x:c r="BB5" s="13" t="n"/>
      <x:c r="BD5" s="13" t="n"/>
      <x:c r="BF5" s="13" t="n"/>
    </x:row>
    <x:row r="6" s="1" customFormat="1" ht="15.75" customHeight="1">
      <x:c r="A6" s="9" t="inlineStr">
        <x:is>
          <x:t xml:space="preserve">1.1</x:t>
        </x:is>
      </x:c>
      <x:c r="B6" s="6" t="inlineStr">
        <x:is>
          <x:t xml:space="preserve">Assistant</x:t>
        </x:is>
      </x:c>
      <x:c r="C6" s="6" t="inlineStr">
        <x:is>
          <x:t xml:space="preserve">Нет</x:t>
        </x:is>
      </x:c>
      <x:c r="D6" s="28">
        <x:f>INDEX(AS15:AS20,MATCH(C6,AR15:AR20,0))*E6</x:f>
        <x:v>0</x:v>
      </x:c>
      <x:c r="E6" s="32" t="n">
        <x:v>200</x:v>
      </x:c>
      <x:c r="F6" s="24" t="n"/>
      <x:c r="J6" s="13" t="n"/>
      <x:c r="L6" s="13" t="n"/>
      <x:c r="N6" s="13" t="n"/>
      <x:c r="P6" s="13" t="n"/>
      <x:c r="R6" s="13" t="n"/>
      <x:c r="T6" s="13" t="n"/>
      <x:c r="V6" s="13" t="n"/>
      <x:c r="X6" s="13" t="n"/>
      <x:c r="Z6" s="13" t="n"/>
      <x:c r="AB6" s="13" t="n"/>
      <x:c r="AD6" s="13" t="n"/>
      <x:c r="AF6" s="13" t="n"/>
      <x:c r="AH6" s="13" t="n"/>
      <x:c r="AJ6" s="13" t="n"/>
      <x:c r="AL6" s="13" t="n"/>
      <x:c r="AN6" s="13" t="n"/>
      <x:c r="AP6" s="13" t="n"/>
      <x:c r="AR6" s="13" t="n"/>
      <x:c r="AT6" s="13" t="n"/>
      <x:c r="AV6" s="13" t="n"/>
      <x:c r="AX6" s="13" t="n"/>
      <x:c r="AZ6" s="13" t="n"/>
      <x:c r="BB6" s="13" t="n"/>
      <x:c r="BD6" s="13" t="n"/>
      <x:c r="BF6" s="13" t="n"/>
    </x:row>
    <x:row r="7" s="1" customFormat="1" ht="15.75" customHeight="1">
      <x:c r="A7" s="9" t="inlineStr">
        <x:is>
          <x:t xml:space="preserve">1.2</x:t>
        </x:is>
      </x:c>
      <x:c r="B7" s="6" t="inlineStr">
        <x:is>
          <x:t xml:space="preserve">Studio 2.0</x:t>
        </x:is>
      </x:c>
      <x:c r="C7" s="6" t="inlineStr">
        <x:is>
          <x:t xml:space="preserve">Да, 1 лицензия</x:t>
        </x:is>
      </x:c>
      <x:c r="D7" s="28">
        <x:f>INDEX(AU15:AU16,MATCH(C7,AT15:AT16,0))*E7</x:f>
        <x:v>200</x:v>
      </x:c>
      <x:c r="E7" s="32" t="n">
        <x:v>200</x:v>
      </x:c>
      <x:c r="F7" s="24" t="n"/>
      <x:c r="J7" s="13" t="n"/>
      <x:c r="L7" s="13" t="n"/>
      <x:c r="N7" s="13" t="n"/>
      <x:c r="P7" s="13" t="n"/>
      <x:c r="R7" s="13" t="n"/>
      <x:c r="T7" s="13" t="n"/>
      <x:c r="V7" s="13" t="n"/>
      <x:c r="X7" s="13" t="n"/>
      <x:c r="Z7" s="13" t="n"/>
      <x:c r="AB7" s="13" t="n"/>
      <x:c r="AD7" s="13" t="n"/>
      <x:c r="AF7" s="13" t="n"/>
      <x:c r="AH7" s="13" t="n"/>
      <x:c r="AJ7" s="13" t="n"/>
      <x:c r="AL7" s="13" t="n"/>
      <x:c r="AN7" s="13" t="n"/>
      <x:c r="AP7" s="13" t="n"/>
      <x:c r="AR7" s="13" t="n"/>
      <x:c r="AT7" s="13" t="n"/>
      <x:c r="AV7" s="13" t="n"/>
      <x:c r="AX7" s="13" t="n"/>
      <x:c r="AZ7" s="13" t="n"/>
      <x:c r="BB7" s="13" t="n"/>
      <x:c r="BD7" s="13" t="n"/>
      <x:c r="BF7" s="13" t="n"/>
    </x:row>
    <x:row r="8" s="1" customFormat="1" ht="15.75" customHeight="1">
      <x:c r="A8" s="9" t="inlineStr">
        <x:is>
          <x:t xml:space="preserve">1.3</x:t>
        </x:is>
      </x:c>
      <x:c r="B8" s="6" t="inlineStr">
        <x:is>
          <x:t xml:space="preserve">Robot 2.0</x:t>
        </x:is>
      </x:c>
      <x:c r="C8" s="6" t="inlineStr">
        <x:is>
          <x:t xml:space="preserve">Да, 1 лицензия</x:t>
        </x:is>
      </x:c>
      <x:c r="D8" s="28">
        <x:f>INDEX(AW15:AW20,MATCH(C8,AV15:AV20,0))*E8</x:f>
        <x:v>350</x:v>
      </x:c>
      <x:c r="E8" s="32" t="n">
        <x:v>350</x:v>
      </x:c>
      <x:c r="F8" s="24" t="n"/>
      <x:c r="J8" s="13" t="n"/>
      <x:c r="L8" s="13" t="n"/>
      <x:c r="N8" s="13" t="n"/>
      <x:c r="P8" s="13" t="n"/>
      <x:c r="R8" s="13" t="n"/>
      <x:c r="T8" s="13" t="n"/>
      <x:c r="V8" s="13" t="n"/>
      <x:c r="X8" s="13" t="n"/>
      <x:c r="Z8" s="13" t="n"/>
      <x:c r="AB8" s="13" t="n"/>
      <x:c r="AD8" s="13" t="n"/>
      <x:c r="AF8" s="13" t="n"/>
      <x:c r="AH8" s="13" t="n"/>
      <x:c r="AJ8" s="13" t="n"/>
      <x:c r="AL8" s="13" t="n"/>
      <x:c r="AN8" s="13" t="n"/>
      <x:c r="AP8" s="13" t="n"/>
      <x:c r="AR8" s="13" t="n"/>
      <x:c r="AT8" s="13" t="n"/>
      <x:c r="AV8" s="13" t="n"/>
      <x:c r="AX8" s="13" t="n"/>
      <x:c r="AZ8" s="13" t="n"/>
      <x:c r="BB8" s="13" t="n"/>
      <x:c r="BD8" s="13" t="n"/>
      <x:c r="BF8" s="13" t="n"/>
    </x:row>
    <x:row r="9" s="1" customFormat="1" ht="15.75" customHeight="1">
      <x:c r="A9" s="9" t="inlineStr">
        <x:is>
          <x:t xml:space="preserve">1.4</x:t>
        </x:is>
      </x:c>
      <x:c r="B9" s="6" t="inlineStr">
        <x:is>
          <x:t xml:space="preserve">Orchestrator</x:t>
        </x:is>
      </x:c>
      <x:c r="C9" s="6" t="inlineStr">
        <x:is>
          <x:t xml:space="preserve">Нет</x:t>
        </x:is>
      </x:c>
      <x:c r="D9" s="28">
        <x:f>INDEX(AY15:AY16,MATCH(C9,AX15:AX16,0))*E9</x:f>
        <x:v>0</x:v>
      </x:c>
      <x:c r="E9" s="32" t="n">
        <x:v>1500</x:v>
      </x:c>
      <x:c r="F9" s="6" t="n"/>
      <x:c r="J9" s="13" t="n"/>
      <x:c r="L9" s="13" t="n"/>
      <x:c r="N9" s="13" t="n"/>
      <x:c r="P9" s="13" t="n"/>
      <x:c r="R9" s="13" t="n"/>
      <x:c r="T9" s="13" t="n"/>
      <x:c r="V9" s="13" t="n"/>
      <x:c r="X9" s="13" t="n"/>
      <x:c r="Z9" s="13" t="n"/>
      <x:c r="AB9" s="13" t="n"/>
      <x:c r="AD9" s="13" t="n"/>
      <x:c r="AF9" s="13" t="n"/>
      <x:c r="AH9" s="13" t="n"/>
      <x:c r="AJ9" s="13" t="n"/>
      <x:c r="AL9" s="13" t="n"/>
      <x:c r="AN9" s="13" t="n"/>
      <x:c r="AP9" s="13" t="n"/>
      <x:c r="AR9" s="13" t="n"/>
      <x:c r="AT9" s="13" t="n"/>
      <x:c r="AV9" s="13" t="n"/>
      <x:c r="AX9" s="13" t="n"/>
      <x:c r="AZ9" s="13" t="n"/>
      <x:c r="BB9" s="13" t="n"/>
      <x:c r="BD9" s="13" t="n"/>
      <x:c r="BF9" s="13" t="n"/>
    </x:row>
    <x:row r="10" s="1" customFormat="1" ht="15.75" customHeight="1">
      <x:c r="A10" s="9" t="inlineStr">
        <x:is>
          <x:t xml:space="preserve">1.5</x:t>
        </x:is>
      </x:c>
      <x:c r="B10" s="6" t="inlineStr">
        <x:is>
          <x:t xml:space="preserve">AI</x:t>
        </x:is>
      </x:c>
      <x:c r="C10" s="6" t="inlineStr">
        <x:is>
          <x:t xml:space="preserve">Нет</x:t>
        </x:is>
      </x:c>
      <x:c r="D10" s="28">
        <x:f>INDEX(AU15:AU16,MATCH(C10,AT15:AT16,0))*E10</x:f>
        <x:v>0</x:v>
      </x:c>
      <x:c r="E10" s="32" t="n">
        <x:v>750</x:v>
      </x:c>
      <x:c r="F10" s="24" t="n"/>
      <x:c r="J10" s="13" t="n"/>
      <x:c r="L10" s="13" t="n"/>
      <x:c r="N10" s="13" t="n"/>
      <x:c r="P10" s="13" t="n"/>
      <x:c r="R10" s="13" t="n"/>
      <x:c r="T10" s="13" t="n"/>
      <x:c r="V10" s="13" t="n"/>
      <x:c r="X10" s="13" t="n"/>
      <x:c r="Z10" s="13" t="n"/>
      <x:c r="AB10" s="13" t="n"/>
      <x:c r="AD10" s="13" t="n"/>
      <x:c r="AF10" s="13" t="n"/>
      <x:c r="AH10" s="13" t="n"/>
      <x:c r="AJ10" s="13" t="n"/>
      <x:c r="AL10" s="13" t="n"/>
      <x:c r="AN10" s="13" t="n"/>
      <x:c r="AP10" s="13" t="n"/>
      <x:c r="AR10" s="13" t="n"/>
      <x:c r="AT10" s="13" t="n"/>
      <x:c r="AV10" s="13" t="n"/>
      <x:c r="AX10" s="13" t="n"/>
      <x:c r="AZ10" s="13" t="n"/>
      <x:c r="BB10" s="13" t="n"/>
      <x:c r="BD10" s="13" t="n"/>
      <x:c r="BF10" s="13" t="n"/>
    </x:row>
    <x:row r="11" s="1" customFormat="1" ht="15.75" customHeight="1">
      <x:c r="A11" s="9" t="inlineStr">
        <x:is>
          <x:t xml:space="preserve">1.6</x:t>
        </x:is>
      </x:c>
      <x:c r="B11" s="6" t="inlineStr">
        <x:is>
          <x:t xml:space="preserve">ChatBot</x:t>
        </x:is>
      </x:c>
      <x:c r="C11" s="6" t="inlineStr">
        <x:is>
          <x:t xml:space="preserve">Нет</x:t>
        </x:is>
      </x:c>
      <x:c r="D11" s="28">
        <x:f>INDEX(AU15:AU16,MATCH(C11,AT15:AT16,0))*E11</x:f>
        <x:v>0</x:v>
      </x:c>
      <x:c r="E11" s="32" t="n">
        <x:v>1000</x:v>
      </x:c>
      <x:c r="F11" s="24" t="n"/>
      <x:c r="J11" s="13" t="n"/>
      <x:c r="L11" s="13" t="n"/>
      <x:c r="N11" s="13" t="n"/>
      <x:c r="P11" s="13" t="n"/>
      <x:c r="R11" s="13" t="n"/>
      <x:c r="T11" s="13" t="n"/>
      <x:c r="V11" s="13" t="n"/>
      <x:c r="X11" s="13" t="n"/>
      <x:c r="Z11" s="13" t="n"/>
      <x:c r="AB11" s="13" t="n"/>
      <x:c r="AD11" s="13" t="n"/>
      <x:c r="AF11" s="13" t="n"/>
      <x:c r="AH11" s="13" t="n"/>
      <x:c r="AJ11" s="13" t="n"/>
      <x:c r="AL11" s="13" t="n"/>
      <x:c r="AN11" s="13" t="n"/>
      <x:c r="AP11" s="13" t="n"/>
      <x:c r="AR11" s="13" t="n"/>
      <x:c r="AT11" s="13" t="n"/>
      <x:c r="AV11" s="13" t="n"/>
      <x:c r="AX11" s="13" t="n"/>
      <x:c r="AZ11" s="13" t="n"/>
      <x:c r="BB11" s="13" t="n"/>
      <x:c r="BD11" s="13" t="n"/>
      <x:c r="BF11" s="13" t="n"/>
    </x:row>
    <x:row r="12" s="1" customFormat="1" ht="16.5" customHeight="1">
      <x:c r="A12" s="9" t="inlineStr">
        <x:is>
          <x:t xml:space="preserve">1.7</x:t>
        </x:is>
      </x:c>
      <x:c r="B12" s="6" t="inlineStr">
        <x:is>
          <x:t xml:space="preserve">OCR</x:t>
        </x:is>
      </x:c>
      <x:c r="C12" s="6" t="inlineStr">
        <x:is>
          <x:t xml:space="preserve">Нет</x:t>
        </x:is>
      </x:c>
      <x:c r="D12" s="34">
        <x:f>INDEX(AU15:AU16,MATCH(C12,AT15:AT16,0))*E12</x:f>
        <x:v>0</x:v>
      </x:c>
      <x:c r="E12" s="32" t="n">
        <x:v>3000</x:v>
      </x:c>
      <x:c r="F12" s="24" t="n"/>
      <x:c r="J12" s="13" t="n"/>
      <x:c r="L12" s="13" t="n"/>
      <x:c r="N12" s="13" t="n"/>
      <x:c r="P12" s="13" t="n"/>
      <x:c r="R12" s="13" t="n"/>
      <x:c r="T12" s="13" t="n"/>
      <x:c r="V12" s="13" t="n"/>
      <x:c r="X12" s="13" t="n"/>
      <x:c r="Z12" s="13" t="n"/>
      <x:c r="AB12" s="13" t="n"/>
      <x:c r="AD12" s="13" t="n"/>
      <x:c r="AF12" s="13" t="n"/>
      <x:c r="AH12" s="13" t="n"/>
      <x:c r="AJ12" s="13" t="n"/>
      <x:c r="AL12" s="13" t="n"/>
      <x:c r="AN12" s="13" t="n"/>
      <x:c r="AP12" s="13" t="n"/>
      <x:c r="AR12" s="13" t="n"/>
      <x:c r="AT12" s="13" t="n"/>
      <x:c r="AV12" s="13" t="n"/>
      <x:c r="AX12" s="13" t="n"/>
      <x:c r="AZ12" s="13" t="n"/>
      <x:c r="BB12" s="13" t="n"/>
      <x:c r="BD12" s="13" t="n"/>
      <x:c r="BF12" s="13" t="n"/>
    </x:row>
    <x:row r="13" s="1" customFormat="1" ht="16.5" customHeight="1">
      <x:c r="A13" s="31" t="n">
        <x:v>2</x:v>
      </x:c>
      <x:c r="B13" s="26" t="inlineStr">
        <x:is>
          <x:t xml:space="preserve">Скидки и иные условия</x:t>
        </x:is>
      </x:c>
      <x:c r="C13" s="27" t="inlineStr">
        <x:is>
          <x:t xml:space="preserve">Скидка 10%</x:t>
        </x:is>
      </x:c>
      <x:c r="D13" s="25">
        <x:f>IF(C13="Нет",0,IF(C13="Скидка 5%",-5,IF(C13="Скидка 10%",-10,IF(C13="Скидка 15%",-15,IF(C13="Наценка 5%",5,IF(C13="Наценка 10%",10,IF(C13="Наценка 15%",15,0)))))))</x:f>
        <x:v>-10</x:v>
      </x:c>
      <x:c r="E13" s="33" t="n">
        <x:v>1</x:v>
      </x:c>
      <x:c r="F13" s="23" t="n"/>
      <x:c r="J13" s="14" t="inlineStr">
        <x:is>
          <x:t xml:space="preserve">Словарь для списков</x:t>
        </x:is>
      </x:c>
      <x:c r="K13" s="14" t="n"/>
      <x:c r="L13" s="14" t="n"/>
      <x:c r="M13" s="14" t="n"/>
      <x:c r="N13" s="14" t="n"/>
      <x:c r="O13" s="14" t="n"/>
      <x:c r="P13" s="14" t="n"/>
      <x:c r="Q13" s="14" t="n"/>
      <x:c r="R13" s="14" t="n"/>
      <x:c r="S13" s="14" t="n"/>
      <x:c r="T13" s="14" t="n"/>
      <x:c r="V13" s="14" t="n"/>
      <x:c r="X13" s="14" t="n"/>
      <x:c r="Z13" s="14" t="n"/>
      <x:c r="AB13" s="14" t="n"/>
      <x:c r="AD13" s="14" t="n"/>
      <x:c r="AF13" s="14" t="n"/>
      <x:c r="AH13" s="14" t="n"/>
      <x:c r="AJ13" s="14" t="n"/>
      <x:c r="AL13" s="14" t="n"/>
      <x:c r="AN13" s="14" t="n"/>
      <x:c r="AP13" s="14" t="n"/>
      <x:c r="AR13" s="14" t="n"/>
      <x:c r="AT13" s="14" t="n"/>
      <x:c r="AV13" s="14" t="n"/>
      <x:c r="AX13" s="14" t="n"/>
      <x:c r="AZ13" s="14" t="n"/>
      <x:c r="BB13" s="14" t="n"/>
      <x:c r="BD13" s="14" t="n"/>
      <x:c r="BF13" s="14" t="n"/>
    </x:row>
    <x:row r="14" s="1" customFormat="1" ht="16.5" customHeight="1">
      <x:c r="A14" s="86" t="inlineStr">
        <x:is>
          <x:t xml:space="preserve">Итого по всем лицензиям</x:t>
        </x:is>
      </x:c>
      <x:c r="B14" s="84" t="n"/>
      <x:c r="C14" s="85" t="n"/>
      <x:c r="D14" s="30">
        <x:f>SUM(D4)*((100+D13)/100)</x:f>
        <x:v>495</x:v>
      </x:c>
      <x:c r="J14" s="18" t="inlineStr">
        <x:is>
          <x:t xml:space="preserve">1.1</x:t>
        </x:is>
      </x:c>
      <x:c r="K14" s="19" t="n"/>
      <x:c r="L14" s="20" t="inlineStr">
        <x:is>
          <x:t xml:space="preserve">1.2</x:t>
        </x:is>
      </x:c>
      <x:c r="M14" s="19" t="n"/>
      <x:c r="N14" s="20" t="inlineStr">
        <x:is>
          <x:t xml:space="preserve">2.1</x:t>
        </x:is>
      </x:c>
      <x:c r="O14" s="19" t="n"/>
      <x:c r="P14" s="20" t="inlineStr">
        <x:is>
          <x:t xml:space="preserve">2.2</x:t>
        </x:is>
      </x:c>
      <x:c r="Q14" s="19" t="n"/>
      <x:c r="R14" s="20" t="inlineStr">
        <x:is>
          <x:t xml:space="preserve">2.3</x:t>
        </x:is>
      </x:c>
      <x:c r="S14" s="19" t="n"/>
      <x:c r="T14" s="20" t="inlineStr">
        <x:is>
          <x:t xml:space="preserve">2.4</x:t>
        </x:is>
      </x:c>
      <x:c r="U14" s="21" t="n"/>
      <x:c r="V14" s="20" t="inlineStr">
        <x:is>
          <x:t xml:space="preserve">2.5</x:t>
        </x:is>
      </x:c>
      <x:c r="W14" s="19" t="n"/>
      <x:c r="X14" s="20" t="inlineStr">
        <x:is>
          <x:t xml:space="preserve">2.6</x:t>
        </x:is>
      </x:c>
      <x:c r="Y14" s="21" t="n"/>
      <x:c r="Z14" s="20" t="inlineStr">
        <x:is>
          <x:t xml:space="preserve">2.7</x:t>
        </x:is>
      </x:c>
      <x:c r="AA14" s="19" t="n"/>
      <x:c r="AB14" s="20" t="inlineStr">
        <x:is>
          <x:t xml:space="preserve">2.8</x:t>
        </x:is>
      </x:c>
      <x:c r="AC14" s="21" t="n"/>
      <x:c r="AD14" s="20" t="inlineStr">
        <x:is>
          <x:t xml:space="preserve">2.9</x:t>
        </x:is>
      </x:c>
      <x:c r="AE14" s="21" t="n"/>
      <x:c r="AF14" s="20" t="inlineStr">
        <x:is>
          <x:t xml:space="preserve">2.10</x:t>
        </x:is>
      </x:c>
      <x:c r="AG14" s="21" t="n"/>
      <x:c r="AH14" s="20" t="inlineStr">
        <x:is>
          <x:t xml:space="preserve">3.1</x:t>
        </x:is>
      </x:c>
      <x:c r="AI14" s="21" t="n"/>
      <x:c r="AJ14" s="20" t="inlineStr">
        <x:is>
          <x:t xml:space="preserve">3.2</x:t>
        </x:is>
      </x:c>
      <x:c r="AK14" s="21" t="n"/>
      <x:c r="AL14" s="20" t="inlineStr">
        <x:is>
          <x:t xml:space="preserve">3.3</x:t>
        </x:is>
      </x:c>
      <x:c r="AM14" s="21" t="n"/>
      <x:c r="AN14" s="20" t="inlineStr">
        <x:is>
          <x:t xml:space="preserve">3.4</x:t>
        </x:is>
      </x:c>
      <x:c r="AO14" s="21" t="n"/>
      <x:c r="AP14" s="20" t="inlineStr">
        <x:is>
          <x:t xml:space="preserve">4.1</x:t>
        </x:is>
      </x:c>
      <x:c r="AQ14" s="21" t="n"/>
      <x:c r="AR14" s="20" t="inlineStr">
        <x:is>
          <x:t xml:space="preserve">1.1</x:t>
        </x:is>
      </x:c>
      <x:c r="AS14" s="21" t="n"/>
      <x:c r="AT14" s="20" t="inlineStr">
        <x:is>
          <x:t xml:space="preserve">1.2</x:t>
        </x:is>
      </x:c>
      <x:c r="AU14" s="21" t="n"/>
      <x:c r="AV14" s="20" t="inlineStr">
        <x:is>
          <x:t xml:space="preserve">1.3</x:t>
        </x:is>
      </x:c>
      <x:c r="AW14" s="21" t="n"/>
      <x:c r="AX14" s="20" t="inlineStr">
        <x:is>
          <x:t xml:space="preserve">1.4</x:t>
        </x:is>
      </x:c>
      <x:c r="AY14" s="21" t="n"/>
      <x:c r="AZ14" s="20" t="inlineStr">
        <x:is>
          <x:t xml:space="preserve">1.5</x:t>
        </x:is>
      </x:c>
      <x:c r="BA14" s="21" t="n"/>
      <x:c r="BB14" s="20" t="inlineStr">
        <x:is>
          <x:t xml:space="preserve">1.6</x:t>
        </x:is>
      </x:c>
      <x:c r="BC14" s="21" t="n"/>
      <x:c r="BD14" s="20" t="inlineStr">
        <x:is>
          <x:t xml:space="preserve">1.7</x:t>
        </x:is>
      </x:c>
      <x:c r="BE14" s="22" t="n"/>
      <x:c r="BF14" s="20" t="inlineStr">
        <x:is>
          <x:t xml:space="preserve">2</x:t>
        </x:is>
      </x:c>
      <x:c r="BG14" s="22" t="n"/>
    </x:row>
    <x:row r="15" s="1" customFormat="1" ht="17.100000381469727" customHeight="1">
      <x:c r="A15" s="2" t="n"/>
      <x:c r="J15" s="16" t="inlineStr">
        <x:is>
          <x:t xml:space="preserve">Неизвестно</x:t>
        </x:is>
      </x:c>
      <x:c r="K15" s="17" t="n">
        <x:v>1.5</x:v>
      </x:c>
      <x:c r="L15" s="16" t="inlineStr">
        <x:is>
          <x:t xml:space="preserve">Неизвестно</x:t>
        </x:is>
      </x:c>
      <x:c r="M15" s="17" t="n">
        <x:v>1.5</x:v>
      </x:c>
      <x:c r="N15" s="16" t="inlineStr">
        <x:is>
          <x:t xml:space="preserve">Нет</x:t>
        </x:is>
      </x:c>
      <x:c r="O15" s="17" t="n">
        <x:v>0</x:v>
      </x:c>
      <x:c r="P15" s="16" t="inlineStr">
        <x:is>
          <x:t xml:space="preserve">Нет</x:t>
        </x:is>
      </x:c>
      <x:c r="Q15" s="17" t="n">
        <x:v>0</x:v>
      </x:c>
      <x:c r="R15" s="16" t="inlineStr">
        <x:is>
          <x:t xml:space="preserve">Нет</x:t>
        </x:is>
      </x:c>
      <x:c r="S15" s="17" t="n">
        <x:v>0</x:v>
      </x:c>
      <x:c r="T15" s="16" t="inlineStr">
        <x:is>
          <x:t xml:space="preserve">Нет</x:t>
        </x:is>
      </x:c>
      <x:c r="U15" s="17" t="n">
        <x:v>0</x:v>
      </x:c>
      <x:c r="V15" s="16" t="inlineStr">
        <x:is>
          <x:t xml:space="preserve">Нет</x:t>
        </x:is>
      </x:c>
      <x:c r="W15" s="17" t="n">
        <x:v>0</x:v>
      </x:c>
      <x:c r="X15" s="16" t="inlineStr">
        <x:is>
          <x:t xml:space="preserve">Нет</x:t>
        </x:is>
      </x:c>
      <x:c r="Y15" s="17" t="n">
        <x:v>0</x:v>
      </x:c>
      <x:c r="Z15" s="16" t="inlineStr">
        <x:is>
          <x:t xml:space="preserve">Нет</x:t>
        </x:is>
      </x:c>
      <x:c r="AA15" s="17" t="n">
        <x:v>0</x:v>
      </x:c>
      <x:c r="AB15" s="16" t="inlineStr">
        <x:is>
          <x:t xml:space="preserve">Нет</x:t>
        </x:is>
      </x:c>
      <x:c r="AC15" s="17" t="n">
        <x:v>0</x:v>
      </x:c>
      <x:c r="AD15" s="16" t="inlineStr">
        <x:is>
          <x:t xml:space="preserve">Нет</x:t>
        </x:is>
      </x:c>
      <x:c r="AE15" s="17" t="n">
        <x:v>0</x:v>
      </x:c>
      <x:c r="AF15" s="16" t="inlineStr">
        <x:is>
          <x:t xml:space="preserve">Нет</x:t>
        </x:is>
      </x:c>
      <x:c r="AG15" s="17" t="n">
        <x:v>0</x:v>
      </x:c>
      <x:c r="AH15" s="16" t="inlineStr">
        <x:is>
          <x:t xml:space="preserve">Нет требований к документации и приёмке</x:t>
        </x:is>
      </x:c>
      <x:c r="AI15" s="17" t="n">
        <x:v>0</x:v>
      </x:c>
      <x:c r="AJ15" s="16" t="inlineStr">
        <x:is>
          <x:t xml:space="preserve">Нет требований к документации и приёмке</x:t>
        </x:is>
      </x:c>
      <x:c r="AK15" s="17" t="n">
        <x:v>0</x:v>
      </x:c>
      <x:c r="AL15" s="16" t="inlineStr">
        <x:is>
          <x:t xml:space="preserve">Нет требований к документации и приёмке</x:t>
        </x:is>
      </x:c>
      <x:c r="AM15" s="17" t="n">
        <x:v>0</x:v>
      </x:c>
      <x:c r="AN15" s="16" t="inlineStr">
        <x:is>
          <x:t xml:space="preserve">Нет требований к сопровождению</x:t>
        </x:is>
      </x:c>
      <x:c r="AO15" s="17" t="n">
        <x:v>0</x:v>
      </x:c>
      <x:c r="AP15" s="16" t="inlineStr">
        <x:is>
          <x:t xml:space="preserve">Нет</x:t>
        </x:is>
      </x:c>
      <x:c r="AQ15" s="17" t="n">
        <x:v>0</x:v>
      </x:c>
      <x:c r="AR15" s="16" t="inlineStr">
        <x:is>
          <x:t xml:space="preserve">Нет</x:t>
        </x:is>
      </x:c>
      <x:c r="AS15" s="17" t="n">
        <x:v>0</x:v>
      </x:c>
      <x:c r="AT15" s="16" t="inlineStr">
        <x:is>
          <x:t xml:space="preserve">Нет</x:t>
        </x:is>
      </x:c>
      <x:c r="AU15" s="17" t="n">
        <x:v>0</x:v>
      </x:c>
      <x:c r="AV15" s="16" t="inlineStr">
        <x:is>
          <x:t xml:space="preserve">Нет</x:t>
        </x:is>
      </x:c>
      <x:c r="AW15" s="17" t="n">
        <x:v>0</x:v>
      </x:c>
      <x:c r="AX15" s="16" t="inlineStr">
        <x:is>
          <x:t xml:space="preserve">Нет</x:t>
        </x:is>
      </x:c>
      <x:c r="AY15" s="17" t="n">
        <x:v>0</x:v>
      </x:c>
      <x:c r="AZ15" s="16" t="inlineStr">
        <x:is>
          <x:t xml:space="preserve">Нет</x:t>
        </x:is>
      </x:c>
      <x:c r="BA15" s="17" t="n">
        <x:v>0</x:v>
      </x:c>
      <x:c r="BB15" s="16" t="inlineStr">
        <x:is>
          <x:t xml:space="preserve">Нет</x:t>
        </x:is>
      </x:c>
      <x:c r="BC15" s="17" t="n">
        <x:v>0</x:v>
      </x:c>
      <x:c r="BD15" s="16" t="inlineStr">
        <x:is>
          <x:t xml:space="preserve">Нет</x:t>
        </x:is>
      </x:c>
      <x:c r="BE15" s="17" t="n">
        <x:v>0</x:v>
      </x:c>
      <x:c r="BF15" s="16" t="inlineStr">
        <x:is>
          <x:t xml:space="preserve">Нет</x:t>
        </x:is>
      </x:c>
      <x:c r="BG15" s="17" t="n">
        <x:v>0</x:v>
      </x:c>
    </x:row>
    <x:row r="16" s="1" customFormat="1" ht="17.100000381469727" customHeight="1">
      <x:c r="A16" s="2" t="n"/>
      <x:c r="J16" s="6" t="inlineStr">
        <x:is>
          <x:t xml:space="preserve">Не требуется, обследование за наш счёт</x:t>
        </x:is>
      </x:c>
      <x:c r="K16" s="5" t="n">
        <x:v>0</x:v>
      </x:c>
      <x:c r="L16" s="6" t="inlineStr">
        <x:is>
          <x:t xml:space="preserve">Подготовка документов для согласования задачи не требуется</x:t>
        </x:is>
      </x:c>
      <x:c r="M16" s="5" t="n">
        <x:v>0</x:v>
      </x:c>
      <x:c r="N16" s="6" t="inlineStr">
        <x:is>
          <x:t xml:space="preserve">В минимальном объеме</x:t>
        </x:is>
      </x:c>
      <x:c r="O16" s="5" t="n">
        <x:v>0.5</x:v>
      </x:c>
      <x:c r="P16" s="6" t="inlineStr">
        <x:is>
          <x:t xml:space="preserve">В минимальном объеме</x:t>
        </x:is>
      </x:c>
      <x:c r="Q16" s="5" t="n">
        <x:v>0.5</x:v>
      </x:c>
      <x:c r="R16" s="6" t="inlineStr">
        <x:is>
          <x:t xml:space="preserve">В минимальном объеме</x:t>
        </x:is>
      </x:c>
      <x:c r="S16" s="5" t="n">
        <x:v>0.5</x:v>
      </x:c>
      <x:c r="T16" s="6" t="inlineStr">
        <x:is>
          <x:t xml:space="preserve">В минимальном объеме</x:t>
        </x:is>
      </x:c>
      <x:c r="U16" s="5" t="n">
        <x:v>0.5</x:v>
      </x:c>
      <x:c r="V16" s="6" t="inlineStr">
        <x:is>
          <x:t xml:space="preserve">В минимальном объеме</x:t>
        </x:is>
      </x:c>
      <x:c r="W16" s="5" t="n">
        <x:v>0.5</x:v>
      </x:c>
      <x:c r="X16" s="6" t="inlineStr">
        <x:is>
          <x:t xml:space="preserve">В минимальном объеме</x:t>
        </x:is>
      </x:c>
      <x:c r="Y16" s="5" t="n">
        <x:v>0.8</x:v>
      </x:c>
      <x:c r="Z16" s="6" t="inlineStr">
        <x:is>
          <x:t xml:space="preserve">В минимальном объеме</x:t>
        </x:is>
      </x:c>
      <x:c r="AA16" s="5" t="n">
        <x:v>0.8</x:v>
      </x:c>
      <x:c r="AB16" s="6" t="inlineStr">
        <x:is>
          <x:t xml:space="preserve">В минимальном объеме</x:t>
        </x:is>
      </x:c>
      <x:c r="AC16" s="5" t="n">
        <x:v>0.8</x:v>
      </x:c>
      <x:c r="AD16" s="6" t="inlineStr">
        <x:is>
          <x:t xml:space="preserve">В минимальном объеме</x:t>
        </x:is>
      </x:c>
      <x:c r="AE16" s="5" t="n">
        <x:v>0.8</x:v>
      </x:c>
      <x:c r="AF16" s="16" t="inlineStr">
        <x:is>
          <x:t xml:space="preserve">Есть</x:t>
        </x:is>
      </x:c>
      <x:c r="AG16" s="5" t="n">
        <x:v>0.8</x:v>
      </x:c>
      <x:c r="AH16" s="6" t="inlineStr">
        <x:is>
          <x:t xml:space="preserve">Да</x:t>
        </x:is>
      </x:c>
      <x:c r="AI16" s="5" t="n">
        <x:v>1</x:v>
      </x:c>
      <x:c r="AJ16" s="6" t="inlineStr">
        <x:is>
          <x:t xml:space="preserve">Да</x:t>
        </x:is>
      </x:c>
      <x:c r="AK16" s="5" t="n">
        <x:v>1</x:v>
      </x:c>
      <x:c r="AL16" s="6" t="inlineStr">
        <x:is>
          <x:t xml:space="preserve">Да</x:t>
        </x:is>
      </x:c>
      <x:c r="AM16" s="5" t="n">
        <x:v>1</x:v>
      </x:c>
      <x:c r="AN16" s="6" t="inlineStr">
        <x:is>
          <x:t xml:space="preserve">1 неделя</x:t>
        </x:is>
      </x:c>
      <x:c r="AO16" s="5" t="n">
        <x:v>0.25</x:v>
      </x:c>
      <x:c r="AP16" s="6" t="inlineStr">
        <x:is>
          <x:t xml:space="preserve">Минимальный</x:t>
        </x:is>
      </x:c>
      <x:c r="AQ16" s="5" t="n">
        <x:v>0.55</x:v>
      </x:c>
      <x:c r="AR16" s="6" t="inlineStr">
        <x:is>
          <x:t xml:space="preserve">Да, 1 лицензия</x:t>
        </x:is>
      </x:c>
      <x:c r="AS16" s="5" t="n">
        <x:v>1</x:v>
      </x:c>
      <x:c r="AT16" s="6" t="inlineStr">
        <x:is>
          <x:t xml:space="preserve">Да, 1 лицензия</x:t>
        </x:is>
      </x:c>
      <x:c r="AU16" s="5" t="n">
        <x:v>1</x:v>
      </x:c>
      <x:c r="AV16" s="6" t="inlineStr">
        <x:is>
          <x:t xml:space="preserve">Да, 1 лицензия</x:t>
        </x:is>
      </x:c>
      <x:c r="AW16" s="5" t="n">
        <x:v>1</x:v>
      </x:c>
      <x:c r="AX16" s="6" t="inlineStr">
        <x:is>
          <x:t xml:space="preserve">Да, 1 лицензия</x:t>
        </x:is>
      </x:c>
      <x:c r="AY16" s="5" t="n">
        <x:v>1</x:v>
      </x:c>
      <x:c r="AZ16" s="6" t="inlineStr">
        <x:is>
          <x:t xml:space="preserve">Да, 1 лицензия</x:t>
        </x:is>
      </x:c>
      <x:c r="BA16" s="5" t="n">
        <x:v>1</x:v>
      </x:c>
      <x:c r="BB16" s="6" t="inlineStr">
        <x:is>
          <x:t xml:space="preserve">Да, 1 лицензия</x:t>
        </x:is>
      </x:c>
      <x:c r="BC16" s="5" t="n">
        <x:v>1</x:v>
      </x:c>
      <x:c r="BD16" s="6" t="inlineStr">
        <x:is>
          <x:t xml:space="preserve">Да, 1 лицензия</x:t>
        </x:is>
      </x:c>
      <x:c r="BE16" s="5" t="n">
        <x:v>1</x:v>
      </x:c>
      <x:c r="BF16" s="6" t="inlineStr">
        <x:is>
          <x:t xml:space="preserve">Скидка 5%</x:t>
        </x:is>
      </x:c>
      <x:c r="BG16" s="5" t="n">
        <x:v>-5</x:v>
      </x:c>
    </x:row>
    <x:row r="17" s="1" customFormat="1" ht="17.100000381469727" customHeight="1">
      <x:c r="A17" s="2" t="n"/>
      <x:c r="J17" s="6" t="inlineStr">
        <x:is>
          <x:t xml:space="preserve">Есть подробное описание и видео записи прохождения процесса для роботизации</x:t>
        </x:is>
      </x:c>
      <x:c r="K17" s="5" t="n">
        <x:v>0.5</x:v>
      </x:c>
      <x:c r="L17" s="6" t="inlineStr">
        <x:is>
          <x:t xml:space="preserve">Минимальное описание и согласование задачи перед разработкой</x:t>
        </x:is>
      </x:c>
      <x:c r="M17" s="5" t="n">
        <x:v>0.5</x:v>
      </x:c>
      <x:c r="N17" s="6" t="inlineStr">
        <x:is>
          <x:t xml:space="preserve">Присутствуют</x:t>
        </x:is>
      </x:c>
      <x:c r="O17" s="5" t="n">
        <x:v>1</x:v>
      </x:c>
      <x:c r="P17" s="6" t="inlineStr">
        <x:is>
          <x:t xml:space="preserve">Присутствуют</x:t>
        </x:is>
      </x:c>
      <x:c r="Q17" s="5" t="n">
        <x:v>1</x:v>
      </x:c>
      <x:c r="R17" s="6" t="inlineStr">
        <x:is>
          <x:t xml:space="preserve">Присутствуют</x:t>
        </x:is>
      </x:c>
      <x:c r="S17" s="5" t="n">
        <x:v>1</x:v>
      </x:c>
      <x:c r="T17" s="6" t="inlineStr">
        <x:is>
          <x:t xml:space="preserve">Присутствуют</x:t>
        </x:is>
      </x:c>
      <x:c r="U17" s="5" t="n">
        <x:v>1</x:v>
      </x:c>
      <x:c r="V17" s="6" t="inlineStr">
        <x:is>
          <x:t xml:space="preserve">Присутствуют</x:t>
        </x:is>
      </x:c>
      <x:c r="W17" s="5" t="n">
        <x:v>1</x:v>
      </x:c>
      <x:c r="X17" s="6" t="inlineStr">
        <x:is>
          <x:t xml:space="preserve">Активно используются</x:t>
        </x:is>
      </x:c>
      <x:c r="Y17" s="5" t="n">
        <x:v>1</x:v>
      </x:c>
      <x:c r="Z17" s="6" t="inlineStr">
        <x:is>
          <x:t xml:space="preserve">Активно используются</x:t>
        </x:is>
      </x:c>
      <x:c r="AA17" s="5" t="n">
        <x:v>1</x:v>
      </x:c>
      <x:c r="AB17" s="6" t="inlineStr">
        <x:is>
          <x:t xml:space="preserve">Активно используются</x:t>
        </x:is>
      </x:c>
      <x:c r="AC17" s="5" t="n">
        <x:v>1</x:v>
      </x:c>
      <x:c r="AD17" s="6" t="inlineStr">
        <x:is>
          <x:t xml:space="preserve">Активно используются</x:t>
        </x:is>
      </x:c>
      <x:c r="AE17" s="5" t="n">
        <x:v>1</x:v>
      </x:c>
      <x:c r="AF17" s="16" t="inlineStr">
        <x:is>
          <x:t xml:space="preserve">Неизвестно</x:t>
        </x:is>
      </x:c>
      <x:c r="AG17" s="5" t="n">
        <x:v>1</x:v>
      </x:c>
      <x:c r="AH17" s="6" t="inlineStr">
        <x:is>
          <x:t xml:space="preserve">Неизвестно</x:t>
        </x:is>
      </x:c>
      <x:c r="AI17" s="5" t="n">
        <x:v>1</x:v>
      </x:c>
      <x:c r="AJ17" s="6" t="inlineStr">
        <x:is>
          <x:t xml:space="preserve">Неизвестно</x:t>
        </x:is>
      </x:c>
      <x:c r="AK17" s="5" t="n">
        <x:v>1</x:v>
      </x:c>
      <x:c r="AL17" s="6" t="inlineStr">
        <x:is>
          <x:t xml:space="preserve">Неизвестно</x:t>
        </x:is>
      </x:c>
      <x:c r="AM17" s="5" t="n">
        <x:v>1</x:v>
      </x:c>
      <x:c r="AN17" s="6" t="inlineStr">
        <x:is>
          <x:t xml:space="preserve">1 месяц</x:t>
        </x:is>
      </x:c>
      <x:c r="AO17" s="5" t="n">
        <x:v>1</x:v>
      </x:c>
      <x:c r="AP17" s="6" t="inlineStr">
        <x:is>
          <x:t xml:space="preserve">Стандартный</x:t>
        </x:is>
      </x:c>
      <x:c r="AQ17" s="5" t="n">
        <x:v>1</x:v>
      </x:c>
      <x:c r="AR17" s="6" t="inlineStr">
        <x:is>
          <x:t xml:space="preserve">Да, 2 лицензии</x:t>
        </x:is>
      </x:c>
      <x:c r="AS17" s="5" t="n">
        <x:v>2</x:v>
      </x:c>
      <x:c r="AT17" s="6" t="n"/>
      <x:c r="AU17" s="5" t="n"/>
      <x:c r="AV17" s="6" t="inlineStr">
        <x:is>
          <x:t xml:space="preserve">Да, 2 лицензии</x:t>
        </x:is>
      </x:c>
      <x:c r="AW17" s="5" t="n">
        <x:v>2</x:v>
      </x:c>
      <x:c r="AX17" s="6" t="n"/>
      <x:c r="AY17" s="5" t="n"/>
      <x:c r="AZ17" s="6" t="n"/>
      <x:c r="BA17" s="5" t="n"/>
      <x:c r="BB17" s="6" t="n"/>
      <x:c r="BC17" s="5" t="n"/>
      <x:c r="BD17" s="6" t="n"/>
      <x:c r="BE17" s="5" t="n"/>
      <x:c r="BF17" s="6" t="inlineStr">
        <x:is>
          <x:t xml:space="preserve">Скидка 10%</x:t>
        </x:is>
      </x:c>
      <x:c r="BG17" s="5" t="n">
        <x:v>-10</x:v>
      </x:c>
    </x:row>
    <x:row r="18" s="1" customFormat="1" ht="17.100000381469727" customHeight="1">
      <x:c r="A18" s="2" t="n"/>
      <x:c r="J18" s="6" t="inlineStr">
        <x:is>
          <x:t xml:space="preserve">Есть детализированное ТЗ</x:t>
        </x:is>
      </x:c>
      <x:c r="K18" s="5" t="n">
        <x:v>1</x:v>
      </x:c>
      <x:c r="L18" s="6" t="inlineStr">
        <x:is>
          <x:t xml:space="preserve">Требуется подготовка ЧТЗ и иных документов для начала работы</x:t>
        </x:is>
      </x:c>
      <x:c r="M18" s="5" t="n">
        <x:v>1</x:v>
      </x:c>
      <x:c r="N18" s="6" t="inlineStr">
        <x:is>
          <x:t xml:space="preserve">Много (основные действия робота)</x:t>
        </x:is>
      </x:c>
      <x:c r="O18" s="5" t="n">
        <x:v>1.2</x:v>
      </x:c>
      <x:c r="P18" s="6" t="inlineStr">
        <x:is>
          <x:t xml:space="preserve">Много (основные действия робота)</x:t>
        </x:is>
      </x:c>
      <x:c r="Q18" s="5" t="n">
        <x:v>1.2</x:v>
      </x:c>
      <x:c r="R18" s="6" t="inlineStr">
        <x:is>
          <x:t xml:space="preserve">Много (основные действия робота)</x:t>
        </x:is>
      </x:c>
      <x:c r="S18" s="5" t="n">
        <x:v>1.2</x:v>
      </x:c>
      <x:c r="T18" s="6" t="inlineStr">
        <x:is>
          <x:t xml:space="preserve">Много (основные действия робота)</x:t>
        </x:is>
      </x:c>
      <x:c r="U18" s="5" t="n">
        <x:v>1.2</x:v>
      </x:c>
      <x:c r="V18" s="6" t="inlineStr">
        <x:is>
          <x:t xml:space="preserve">Много (основные действия робота)</x:t>
        </x:is>
      </x:c>
      <x:c r="W18" s="5" t="n">
        <x:v>1.2</x:v>
      </x:c>
      <x:c r="X18" s="6" t="inlineStr">
        <x:is>
          <x:t xml:space="preserve">Неизвестно</x:t>
        </x:is>
      </x:c>
      <x:c r="Y18" s="5" t="n">
        <x:v>1</x:v>
      </x:c>
      <x:c r="Z18" s="6" t="inlineStr">
        <x:is>
          <x:t xml:space="preserve">Неизвестно</x:t>
        </x:is>
      </x:c>
      <x:c r="AA18" s="5" t="n">
        <x:v>1</x:v>
      </x:c>
      <x:c r="AB18" s="6" t="inlineStr">
        <x:is>
          <x:t xml:space="preserve">Неизвестно</x:t>
        </x:is>
      </x:c>
      <x:c r="AC18" s="5" t="n">
        <x:v>1</x:v>
      </x:c>
      <x:c r="AD18" s="6" t="inlineStr">
        <x:is>
          <x:t xml:space="preserve">Неизвестно</x:t>
        </x:is>
      </x:c>
      <x:c r="AE18" s="5" t="n">
        <x:v>1</x:v>
      </x:c>
      <x:c r="AF18" s="6" t="n"/>
      <x:c r="AG18" s="5" t="n">
        <x:v>1</x:v>
      </x:c>
      <x:c r="AH18" s="6" t="n"/>
      <x:c r="AI18" s="5" t="n"/>
      <x:c r="AJ18" s="6" t="n"/>
      <x:c r="AK18" s="5" t="n"/>
      <x:c r="AL18" s="6" t="n"/>
      <x:c r="AM18" s="5" t="n"/>
      <x:c r="AN18" s="6" t="inlineStr">
        <x:is>
          <x:t xml:space="preserve">1 год</x:t>
        </x:is>
      </x:c>
      <x:c r="AO18" s="5" t="n">
        <x:v>10</x:v>
      </x:c>
      <x:c r="AP18" s="6" t="inlineStr">
        <x:is>
          <x:t xml:space="preserve">Полный</x:t>
        </x:is>
      </x:c>
      <x:c r="AQ18" s="5" t="n">
        <x:v>3</x:v>
      </x:c>
      <x:c r="AR18" s="6" t="inlineStr">
        <x:is>
          <x:t xml:space="preserve">Да, 3 лицензии</x:t>
        </x:is>
      </x:c>
      <x:c r="AS18" s="5" t="n">
        <x:v>3</x:v>
      </x:c>
      <x:c r="AT18" s="6" t="n"/>
      <x:c r="AU18" s="5" t="n"/>
      <x:c r="AV18" s="6" t="inlineStr">
        <x:is>
          <x:t xml:space="preserve">Да, 3 лицензии</x:t>
        </x:is>
      </x:c>
      <x:c r="AW18" s="5" t="n">
        <x:v>3</x:v>
      </x:c>
      <x:c r="AX18" s="6" t="n"/>
      <x:c r="AY18" s="5" t="n"/>
      <x:c r="AZ18" s="6" t="n"/>
      <x:c r="BA18" s="5" t="n"/>
      <x:c r="BB18" s="6" t="n"/>
      <x:c r="BC18" s="5" t="n"/>
      <x:c r="BD18" s="6" t="n"/>
      <x:c r="BE18" s="5" t="n"/>
      <x:c r="BF18" s="6" t="inlineStr">
        <x:is>
          <x:t xml:space="preserve">Скидка 15%</x:t>
        </x:is>
      </x:c>
      <x:c r="BG18" s="5" t="n">
        <x:v>-15</x:v>
      </x:c>
    </x:row>
    <x:row r="19" s="1" customFormat="1" ht="17.100000381469727" customHeight="1">
      <x:c r="A19" s="2" t="n"/>
      <x:c r="J19" s="6" t="inlineStr">
        <x:is>
          <x:t xml:space="preserve">Заказчик может описать процесс для роботизации на словах</x:t>
        </x:is>
      </x:c>
      <x:c r="K19" s="5" t="n">
        <x:v>1.2</x:v>
      </x:c>
      <x:c r="L19" s="6" t="inlineStr">
        <x:is>
          <x:t xml:space="preserve">Существенный объем конкурсной или иной подготовительной документации</x:t>
        </x:is>
      </x:c>
      <x:c r="M19" s="5" t="n">
        <x:v>2.2</x:v>
      </x:c>
      <x:c r="N19" s="6" t="inlineStr">
        <x:is>
          <x:t xml:space="preserve">Неизвестно</x:t>
        </x:is>
      </x:c>
      <x:c r="O19" s="5" t="n">
        <x:v>1.2</x:v>
      </x:c>
      <x:c r="P19" s="6" t="inlineStr">
        <x:is>
          <x:t xml:space="preserve">Неизвестно</x:t>
        </x:is>
      </x:c>
      <x:c r="Q19" s="5" t="n">
        <x:v>1.2</x:v>
      </x:c>
      <x:c r="R19" s="6" t="inlineStr">
        <x:is>
          <x:t xml:space="preserve">Неизвестно</x:t>
        </x:is>
      </x:c>
      <x:c r="S19" s="5" t="n">
        <x:v>1.2</x:v>
      </x:c>
      <x:c r="T19" s="6" t="inlineStr">
        <x:is>
          <x:t xml:space="preserve">Неизвестно</x:t>
        </x:is>
      </x:c>
      <x:c r="U19" s="5" t="n">
        <x:v>1.2</x:v>
      </x:c>
      <x:c r="V19" s="6" t="inlineStr">
        <x:is>
          <x:t xml:space="preserve">Неизвестно</x:t>
        </x:is>
      </x:c>
      <x:c r="W19" s="5" t="n">
        <x:v>1.2</x:v>
      </x:c>
      <x:c r="X19" s="6" t="n"/>
      <x:c r="Y19" s="5" t="n"/>
      <x:c r="Z19" s="6" t="n"/>
      <x:c r="AA19" s="5" t="n"/>
      <x:c r="AB19" s="6" t="n"/>
      <x:c r="AC19" s="5" t="n"/>
      <x:c r="AD19" s="6" t="n"/>
      <x:c r="AE19" s="5" t="n"/>
      <x:c r="AF19" s="6" t="n"/>
      <x:c r="AG19" s="5" t="n"/>
      <x:c r="AH19" s="6" t="n"/>
      <x:c r="AI19" s="5" t="n"/>
      <x:c r="AJ19" s="6" t="n"/>
      <x:c r="AK19" s="5" t="n"/>
      <x:c r="AL19" s="6" t="n"/>
      <x:c r="AM19" s="5" t="n"/>
      <x:c r="AN19" s="6" t="n"/>
      <x:c r="AO19" s="5" t="n"/>
      <x:c r="AP19" s="6" t="inlineStr">
        <x:is>
          <x:t xml:space="preserve">Безлимитный</x:t>
        </x:is>
      </x:c>
      <x:c r="AQ19" s="5" t="n">
        <x:v>6</x:v>
      </x:c>
      <x:c r="AR19" s="6" t="inlineStr">
        <x:is>
          <x:t xml:space="preserve">Да, 4 лицензии</x:t>
        </x:is>
      </x:c>
      <x:c r="AS19" s="5" t="n">
        <x:v>4</x:v>
      </x:c>
      <x:c r="AT19" s="6" t="n"/>
      <x:c r="AU19" s="5" t="n"/>
      <x:c r="AV19" s="6" t="inlineStr">
        <x:is>
          <x:t xml:space="preserve">Да, 4 лицензии</x:t>
        </x:is>
      </x:c>
      <x:c r="AW19" s="5" t="n">
        <x:v>4</x:v>
      </x:c>
      <x:c r="AX19" s="6" t="n"/>
      <x:c r="AY19" s="5" t="n"/>
      <x:c r="AZ19" s="6" t="n"/>
      <x:c r="BA19" s="5" t="n"/>
      <x:c r="BB19" s="6" t="n"/>
      <x:c r="BC19" s="5" t="n"/>
      <x:c r="BD19" s="6" t="n"/>
      <x:c r="BE19" s="5" t="n"/>
      <x:c r="BF19" s="6" t="inlineStr">
        <x:is>
          <x:t xml:space="preserve">Наценка 5%</x:t>
        </x:is>
      </x:c>
      <x:c r="BG19" s="5" t="n">
        <x:v>5</x:v>
      </x:c>
    </x:row>
    <x:row r="20" s="1" customFormat="1" ht="17.100000381469727" customHeight="1">
      <x:c r="A20" s="2" t="n"/>
      <x:c r="J20" s="6" t="inlineStr">
        <x:is>
          <x:t xml:space="preserve">У заказчика слабое понимание задач и процессов роботизации</x:t>
        </x:is>
      </x:c>
      <x:c r="K20" s="5" t="n">
        <x:v>2.2</x:v>
      </x:c>
      <x:c r="L20" s="6" t="n"/>
      <x:c r="M20" s="5" t="n"/>
      <x:c r="N20" s="6" t="n"/>
      <x:c r="O20" s="5" t="n"/>
      <x:c r="P20" s="6" t="n"/>
      <x:c r="Q20" s="5" t="n"/>
      <x:c r="R20" s="6" t="n"/>
      <x:c r="S20" s="5" t="n"/>
      <x:c r="T20" s="6" t="n"/>
      <x:c r="U20" s="5" t="n"/>
      <x:c r="V20" s="6" t="n"/>
      <x:c r="W20" s="5" t="n"/>
      <x:c r="X20" s="6" t="n"/>
      <x:c r="Y20" s="5" t="n"/>
      <x:c r="Z20" s="6" t="n"/>
      <x:c r="AA20" s="5" t="n"/>
      <x:c r="AB20" s="6" t="n"/>
      <x:c r="AC20" s="5" t="n"/>
      <x:c r="AD20" s="6" t="n"/>
      <x:c r="AE20" s="5" t="n"/>
      <x:c r="AF20" s="6" t="n"/>
      <x:c r="AG20" s="5" t="n"/>
      <x:c r="AH20" s="6" t="n"/>
      <x:c r="AI20" s="5" t="n"/>
      <x:c r="AJ20" s="6" t="n"/>
      <x:c r="AK20" s="5" t="n"/>
      <x:c r="AL20" s="6" t="n"/>
      <x:c r="AM20" s="5" t="n"/>
      <x:c r="AN20" s="6" t="n"/>
      <x:c r="AO20" s="5" t="n"/>
      <x:c r="AP20" s="6" t="n"/>
      <x:c r="AQ20" s="5" t="n"/>
      <x:c r="AR20" s="6" t="inlineStr">
        <x:is>
          <x:t xml:space="preserve">Да, 5 лицензии</x:t>
        </x:is>
      </x:c>
      <x:c r="AS20" s="5" t="n">
        <x:v>5</x:v>
      </x:c>
      <x:c r="AT20" s="6" t="n"/>
      <x:c r="AU20" s="5" t="n"/>
      <x:c r="AV20" s="6" t="inlineStr">
        <x:is>
          <x:t xml:space="preserve">Да, 5 лицензии</x:t>
        </x:is>
      </x:c>
      <x:c r="AW20" s="5" t="n">
        <x:v>5</x:v>
      </x:c>
      <x:c r="AX20" s="6" t="n"/>
      <x:c r="AY20" s="5" t="n"/>
      <x:c r="AZ20" s="6" t="n"/>
      <x:c r="BA20" s="5" t="n"/>
      <x:c r="BB20" s="6" t="n"/>
      <x:c r="BC20" s="5" t="n"/>
      <x:c r="BD20" s="6" t="n"/>
      <x:c r="BE20" s="5" t="n"/>
      <x:c r="BF20" s="6" t="inlineStr">
        <x:is>
          <x:t xml:space="preserve">Наценка 10%</x:t>
        </x:is>
      </x:c>
      <x:c r="BG20" s="5" t="n">
        <x:v>10</x:v>
      </x:c>
    </x:row>
    <x:row r="21" s="1" customFormat="1" ht="17.100000381469727" customHeight="1">
      <x:c r="A21" s="2" t="n"/>
      <x:c r="J21" s="6" t="n"/>
      <x:c r="K21" s="5" t="n"/>
      <x:c r="L21" s="6" t="n"/>
      <x:c r="M21" s="5" t="n"/>
      <x:c r="N21" s="6" t="n"/>
      <x:c r="O21" s="5" t="n"/>
      <x:c r="P21" s="6" t="n"/>
      <x:c r="Q21" s="5" t="n"/>
      <x:c r="R21" s="6" t="n"/>
      <x:c r="S21" s="5" t="n"/>
      <x:c r="T21" s="6" t="n"/>
      <x:c r="U21" s="5" t="n"/>
      <x:c r="V21" s="6" t="n"/>
      <x:c r="W21" s="5" t="n"/>
      <x:c r="X21" s="6" t="n"/>
      <x:c r="Y21" s="5" t="n"/>
      <x:c r="Z21" s="6" t="n"/>
      <x:c r="AA21" s="5" t="n"/>
      <x:c r="AB21" s="6" t="n"/>
      <x:c r="AC21" s="5" t="n"/>
      <x:c r="AD21" s="6" t="n"/>
      <x:c r="AE21" s="5" t="n"/>
      <x:c r="AF21" s="6" t="n"/>
      <x:c r="AG21" s="5" t="n"/>
      <x:c r="AH21" s="6" t="n"/>
      <x:c r="AI21" s="5" t="n"/>
      <x:c r="AJ21" s="6" t="n"/>
      <x:c r="AK21" s="5" t="n"/>
      <x:c r="AL21" s="6" t="n"/>
      <x:c r="AM21" s="5" t="n"/>
      <x:c r="AN21" s="6" t="n"/>
      <x:c r="AO21" s="5" t="n"/>
      <x:c r="AP21" s="6" t="n"/>
      <x:c r="AQ21" s="5" t="n"/>
      <x:c r="AR21" s="6" t="n"/>
      <x:c r="AS21" s="5" t="n"/>
      <x:c r="AT21" s="6" t="n"/>
      <x:c r="AU21" s="5" t="n"/>
      <x:c r="AV21" s="6" t="n"/>
      <x:c r="AW21" s="5" t="n"/>
      <x:c r="AX21" s="6" t="n"/>
      <x:c r="AY21" s="5" t="n"/>
      <x:c r="AZ21" s="6" t="n"/>
      <x:c r="BA21" s="5" t="n"/>
      <x:c r="BB21" s="6" t="n"/>
      <x:c r="BC21" s="5" t="n"/>
      <x:c r="BD21" s="6" t="n"/>
      <x:c r="BE21" s="5" t="n"/>
      <x:c r="BF21" s="6" t="inlineStr">
        <x:is>
          <x:t xml:space="preserve">Наценка 15%</x:t>
        </x:is>
      </x:c>
      <x:c r="BG21" s="5" t="n">
        <x:v>15</x:v>
      </x:c>
    </x:row>
    <x:row r="22" s="1" customFormat="1" ht="17.100000381469727" customHeight="1">
      <x:c r="A22" s="2" t="n"/>
      <x:c r="J22" s="6" t="n"/>
      <x:c r="K22" s="5" t="n"/>
      <x:c r="L22" s="6" t="n"/>
      <x:c r="M22" s="5" t="n"/>
      <x:c r="N22" s="6" t="n"/>
      <x:c r="O22" s="5" t="n"/>
      <x:c r="P22" s="6" t="n"/>
      <x:c r="Q22" s="5" t="n"/>
      <x:c r="R22" s="6" t="n"/>
      <x:c r="S22" s="5" t="n"/>
      <x:c r="T22" s="6" t="n"/>
      <x:c r="U22" s="5" t="n"/>
      <x:c r="V22" s="6" t="n"/>
      <x:c r="W22" s="5" t="n"/>
      <x:c r="X22" s="6" t="n"/>
      <x:c r="Y22" s="5" t="n"/>
      <x:c r="Z22" s="6" t="n"/>
      <x:c r="AA22" s="5" t="n"/>
      <x:c r="AB22" s="6" t="n"/>
      <x:c r="AC22" s="5" t="n"/>
      <x:c r="AD22" s="6" t="n"/>
      <x:c r="AE22" s="5" t="n"/>
      <x:c r="AF22" s="6" t="n"/>
      <x:c r="AG22" s="5" t="n"/>
      <x:c r="AH22" s="6" t="n"/>
      <x:c r="AI22" s="5" t="n"/>
      <x:c r="AJ22" s="6" t="n"/>
      <x:c r="AK22" s="5" t="n"/>
      <x:c r="AL22" s="6" t="n"/>
      <x:c r="AM22" s="5" t="n"/>
      <x:c r="AN22" s="6" t="n"/>
      <x:c r="AO22" s="5" t="n"/>
      <x:c r="AP22" s="6" t="n"/>
      <x:c r="AQ22" s="5" t="n"/>
      <x:c r="AR22" s="6" t="n"/>
      <x:c r="AS22" s="5" t="n"/>
      <x:c r="AT22" s="6" t="n"/>
      <x:c r="AU22" s="5" t="n"/>
      <x:c r="AV22" s="6" t="n"/>
      <x:c r="AW22" s="5" t="n"/>
      <x:c r="AX22" s="6" t="n"/>
      <x:c r="AY22" s="5" t="n"/>
      <x:c r="AZ22" s="6" t="n"/>
      <x:c r="BA22" s="5" t="n"/>
      <x:c r="BB22" s="6" t="n"/>
      <x:c r="BC22" s="5" t="n"/>
      <x:c r="BD22" s="6" t="n"/>
      <x:c r="BE22" s="5" t="n"/>
      <x:c r="BF22" s="6" t="inlineStr">
        <x:is>
          <x:t xml:space="preserve">Введите значение от -30 до 30</x:t>
        </x:is>
      </x:c>
      <x:c r="BG22" s="5" t="n">
        <x:v>0</x:v>
      </x:c>
    </x:row>
  </x:sheetData>
  <x:mergeCells>
    <x:mergeCell ref="B4:C4"/>
    <x:mergeCell ref="A1:D1"/>
    <x:mergeCell ref="A14:C14"/>
    <x:mergeCell ref="A3:D3"/>
  </x:mergeCells>
  <x:pageMargins left="0.7" right="0.7" top="0.75" bottom="0.75" header="0.3" footer="0.3"/>
</x:worksheet>
</file>